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1021" sheetId="2" state="visible" r:id="rId2"/>
    <sheet xmlns:r="http://schemas.openxmlformats.org/officeDocument/2006/relationships" name="P1100" sheetId="3" state="visible" r:id="rId3"/>
    <sheet xmlns:r="http://schemas.openxmlformats.org/officeDocument/2006/relationships" name="P1117" sheetId="4" state="visible" r:id="rId4"/>
    <sheet xmlns:r="http://schemas.openxmlformats.org/officeDocument/2006/relationships" name="P1128" sheetId="5" state="visible" r:id="rId5"/>
    <sheet xmlns:r="http://schemas.openxmlformats.org/officeDocument/2006/relationships" name="P1220" sheetId="6" state="visible" r:id="rId6"/>
    <sheet xmlns:r="http://schemas.openxmlformats.org/officeDocument/2006/relationships" name="P1240" sheetId="7" state="visible" r:id="rId7"/>
    <sheet xmlns:r="http://schemas.openxmlformats.org/officeDocument/2006/relationships" name="P134" sheetId="8" state="visible" r:id="rId8"/>
    <sheet xmlns:r="http://schemas.openxmlformats.org/officeDocument/2006/relationships" name="P141" sheetId="9" state="visible" r:id="rId9"/>
    <sheet xmlns:r="http://schemas.openxmlformats.org/officeDocument/2006/relationships" name="P1421" sheetId="10" state="visible" r:id="rId10"/>
    <sheet xmlns:r="http://schemas.openxmlformats.org/officeDocument/2006/relationships" name="P1594" sheetId="11" state="visible" r:id="rId11"/>
    <sheet xmlns:r="http://schemas.openxmlformats.org/officeDocument/2006/relationships" name="P1595" sheetId="12" state="visible" r:id="rId12"/>
    <sheet xmlns:r="http://schemas.openxmlformats.org/officeDocument/2006/relationships" name="P1638" sheetId="13" state="visible" r:id="rId13"/>
    <sheet xmlns:r="http://schemas.openxmlformats.org/officeDocument/2006/relationships" name="P166" sheetId="14" state="visible" r:id="rId14"/>
    <sheet xmlns:r="http://schemas.openxmlformats.org/officeDocument/2006/relationships" name="P1690" sheetId="15" state="visible" r:id="rId15"/>
    <sheet xmlns:r="http://schemas.openxmlformats.org/officeDocument/2006/relationships" name="P1874" sheetId="16" state="visible" r:id="rId16"/>
    <sheet xmlns:r="http://schemas.openxmlformats.org/officeDocument/2006/relationships" name="P193" sheetId="17" state="visible" r:id="rId17"/>
    <sheet xmlns:r="http://schemas.openxmlformats.org/officeDocument/2006/relationships" name="P1983" sheetId="18" state="visible" r:id="rId18"/>
    <sheet xmlns:r="http://schemas.openxmlformats.org/officeDocument/2006/relationships" name="P199" sheetId="19" state="visible" r:id="rId19"/>
    <sheet xmlns:r="http://schemas.openxmlformats.org/officeDocument/2006/relationships" name="P2007" sheetId="20" state="visible" r:id="rId20"/>
    <sheet xmlns:r="http://schemas.openxmlformats.org/officeDocument/2006/relationships" name="P206" sheetId="21" state="visible" r:id="rId21"/>
    <sheet xmlns:r="http://schemas.openxmlformats.org/officeDocument/2006/relationships" name="P208" sheetId="22" state="visible" r:id="rId22"/>
    <sheet xmlns:r="http://schemas.openxmlformats.org/officeDocument/2006/relationships" name="P435" sheetId="23" state="visible" r:id="rId23"/>
    <sheet xmlns:r="http://schemas.openxmlformats.org/officeDocument/2006/relationships" name="P451" sheetId="24" state="visible" r:id="rId24"/>
    <sheet xmlns:r="http://schemas.openxmlformats.org/officeDocument/2006/relationships" name="P461" sheetId="25" state="visible" r:id="rId25"/>
    <sheet xmlns:r="http://schemas.openxmlformats.org/officeDocument/2006/relationships" name="P626" sheetId="26" state="visible" r:id="rId26"/>
    <sheet xmlns:r="http://schemas.openxmlformats.org/officeDocument/2006/relationships" name="P756" sheetId="27" state="visible" r:id="rId27"/>
    <sheet xmlns:r="http://schemas.openxmlformats.org/officeDocument/2006/relationships" name="P856" sheetId="28" state="visible" r:id="rId28"/>
    <sheet xmlns:r="http://schemas.openxmlformats.org/officeDocument/2006/relationships" name="P943" sheetId="29" state="visible" r:id="rId29"/>
    <sheet xmlns:r="http://schemas.openxmlformats.org/officeDocument/2006/relationships" name="P961" sheetId="30" state="visible" r:id="rId30"/>
    <sheet xmlns:r="http://schemas.openxmlformats.org/officeDocument/2006/relationships" name="P988" sheetId="31" state="visible" r:id="rId3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FFFFFF"/>
      <sz val="10"/>
    </font>
    <font>
      <name val="Arial"/>
      <color rgb="00000000"/>
      <sz val="10"/>
    </font>
    <font>
      <name val="Arial"/>
      <b val="1"/>
      <color rgb="00C00000"/>
      <sz val="10"/>
    </font>
    <font>
      <name val="Arial"/>
      <b val="1"/>
      <color rgb="00FFFFFF"/>
      <sz val="12"/>
    </font>
    <font>
      <name val="Arial"/>
      <color rgb="000563C1"/>
      <sz val="10"/>
      <u val="single"/>
    </font>
    <font>
      <name val="Arial"/>
      <b val="1"/>
      <color rgb="00000000"/>
      <sz val="10"/>
    </font>
  </fonts>
  <fills count="17">
    <fill>
      <patternFill/>
    </fill>
    <fill>
      <patternFill patternType="gray125"/>
    </fill>
    <fill>
      <patternFill patternType="solid">
        <fgColor rgb="001F4E79"/>
      </patternFill>
    </fill>
    <fill>
      <patternFill patternType="solid">
        <fgColor rgb="004A4A6A"/>
      </patternFill>
    </fill>
    <fill>
      <patternFill patternType="solid">
        <fgColor rgb="00375623"/>
      </patternFill>
    </fill>
    <fill>
      <patternFill patternType="solid">
        <fgColor rgb="00FFFFFF"/>
      </patternFill>
    </fill>
    <fill>
      <patternFill patternType="solid">
        <fgColor rgb="00C6EFCE"/>
      </patternFill>
    </fill>
    <fill>
      <patternFill patternType="solid">
        <fgColor rgb="00E8E8F0"/>
      </patternFill>
    </fill>
    <fill>
      <patternFill patternType="solid">
        <fgColor rgb="00EAF4E8"/>
      </patternFill>
    </fill>
    <fill>
      <patternFill patternType="solid">
        <fgColor rgb="00EBF3FB"/>
      </patternFill>
    </fill>
    <fill>
      <patternFill patternType="solid">
        <fgColor rgb="00EEEEF5"/>
      </patternFill>
    </fill>
    <fill>
      <patternFill patternType="solid">
        <fgColor rgb="00FFEB9C"/>
      </patternFill>
    </fill>
    <fill>
      <patternFill patternType="solid">
        <fgColor rgb="00D9D9D9"/>
      </patternFill>
    </fill>
    <fill>
      <patternFill patternType="solid">
        <fgColor rgb="00FFC7CE"/>
      </patternFill>
    </fill>
    <fill>
      <patternFill patternType="solid">
        <fgColor rgb="00FFF2CC"/>
      </patternFill>
    </fill>
    <fill>
      <patternFill patternType="solid">
        <fgColor rgb="002E75B6"/>
      </patternFill>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5" fillId="2" borderId="0" applyAlignment="1" pivotButton="0" quotePrefix="0" xfId="0">
      <alignment horizontal="left" vertical="center"/>
    </xf>
    <xf numFmtId="0" fontId="2" fillId="15" borderId="1" applyAlignment="1" pivotButton="0" quotePrefix="0" xfId="0">
      <alignment horizontal="center" vertical="center"/>
    </xf>
    <xf numFmtId="0" fontId="3" fillId="5" borderId="1" applyAlignment="1" pivotButton="0" quotePrefix="0" xfId="0">
      <alignment horizontal="center"/>
    </xf>
    <xf numFmtId="0" fontId="3" fillId="5" borderId="1" pivotButton="0" quotePrefix="0" xfId="0"/>
    <xf numFmtId="0" fontId="6" fillId="5" borderId="1" applyAlignment="1" pivotButton="0" quotePrefix="0" xfId="0">
      <alignment horizontal="center"/>
    </xf>
    <xf numFmtId="0" fontId="3" fillId="9" borderId="1" applyAlignment="1" pivotButton="0" quotePrefix="0" xfId="0">
      <alignment horizontal="center"/>
    </xf>
    <xf numFmtId="0" fontId="3" fillId="9" borderId="1" pivotButton="0" quotePrefix="0" xfId="0"/>
    <xf numFmtId="0" fontId="6" fillId="9" borderId="1" applyAlignment="1" pivotButton="0" quotePrefix="0" xfId="0">
      <alignment horizontal="center"/>
    </xf>
    <xf numFmtId="0" fontId="7" fillId="16" borderId="1" pivotButton="0" quotePrefix="0" xfId="0"/>
    <xf numFmtId="0" fontId="0" fillId="16" borderId="1" pivotButton="0" quotePrefix="0" xfId="0"/>
    <xf numFmtId="0" fontId="7" fillId="16" borderId="1" applyAlignment="1" pivotButton="0" quotePrefix="0" xfId="0">
      <alignment horizontal="center"/>
    </xf>
    <xf numFmtId="0" fontId="1" fillId="2" borderId="0" applyAlignment="1" pivotButton="0" quotePrefix="0" xfId="0">
      <alignment horizontal="left"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5" borderId="1" applyAlignment="1" pivotButton="0" quotePrefix="0" xfId="0">
      <alignment vertical="center"/>
    </xf>
    <xf numFmtId="0" fontId="3" fillId="6" borderId="1" applyAlignment="1" pivotButton="0" quotePrefix="0" xfId="0">
      <alignment vertical="center"/>
    </xf>
    <xf numFmtId="0" fontId="3" fillId="7" borderId="1" applyAlignment="1" pivotButton="0" quotePrefix="0" xfId="0">
      <alignment vertical="center"/>
    </xf>
    <xf numFmtId="0" fontId="3" fillId="7" borderId="1" applyAlignment="1" pivotButton="0" quotePrefix="0" xfId="0">
      <alignment vertical="center" wrapText="1"/>
    </xf>
    <xf numFmtId="0" fontId="3" fillId="8" borderId="1" applyAlignment="1" applyProtection="1" pivotButton="0" quotePrefix="0" xfId="0">
      <alignment vertical="center"/>
      <protection locked="0" hidden="0"/>
    </xf>
    <xf numFmtId="0" fontId="3" fillId="8" borderId="1" applyAlignment="1" applyProtection="1" pivotButton="0" quotePrefix="0" xfId="0">
      <alignment vertical="center" wrapText="1"/>
      <protection locked="0" hidden="0"/>
    </xf>
    <xf numFmtId="0" fontId="3" fillId="9" borderId="1" applyAlignment="1" pivotButton="0" quotePrefix="0" xfId="0">
      <alignment vertical="center"/>
    </xf>
    <xf numFmtId="0" fontId="3" fillId="10" borderId="1" applyAlignment="1" pivotButton="0" quotePrefix="0" xfId="0">
      <alignment vertical="center"/>
    </xf>
    <xf numFmtId="0" fontId="3" fillId="10" borderId="1" applyAlignment="1" pivotButton="0" quotePrefix="0" xfId="0">
      <alignment vertical="center" wrapText="1"/>
    </xf>
    <xf numFmtId="0" fontId="3" fillId="11" borderId="1" applyAlignment="1" pivotButton="0" quotePrefix="0" xfId="0">
      <alignment vertical="center"/>
    </xf>
    <xf numFmtId="0" fontId="3" fillId="12" borderId="1" applyAlignment="1" pivotButton="0" quotePrefix="0" xfId="0">
      <alignment vertical="center"/>
    </xf>
    <xf numFmtId="0" fontId="3" fillId="13" borderId="1" applyAlignment="1" pivotButton="0" quotePrefix="0" xfId="0">
      <alignment vertical="center"/>
    </xf>
    <xf numFmtId="0" fontId="4" fillId="14" borderId="0" applyAlignment="1" applyProtection="1" pivotButton="0" quotePrefix="0" xfId="0">
      <alignment horizontal="left" vertical="center"/>
      <protection locked="0" hidden="0"/>
    </xf>
    <xf numFmtId="0" fontId="0" fillId="0" borderId="0" applyProtection="1" pivotButton="0" quotePrefix="0" xfId="0">
      <protection locked="0" hidden="0"/>
    </xf>
    <xf numFmtId="0" fontId="3" fillId="5" borderId="1" applyProtection="1" pivotButton="0" quotePrefix="0" xfId="0">
      <protection locked="0" hidden="0"/>
    </xf>
    <xf numFmtId="0" fontId="3" fillId="10" borderId="1" applyProtection="1" pivotButton="0" quotePrefix="0" xfId="0">
      <protection locked="0" hidden="0"/>
    </xf>
    <xf numFmtId="0" fontId="3" fillId="8" borderId="1"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1021'!A1" TargetMode="External" Id="rId1"/><Relationship Type="http://schemas.openxmlformats.org/officeDocument/2006/relationships/hyperlink" Target="#'P1100'!A1" TargetMode="External" Id="rId2"/><Relationship Type="http://schemas.openxmlformats.org/officeDocument/2006/relationships/hyperlink" Target="#'P1117'!A1" TargetMode="External" Id="rId3"/><Relationship Type="http://schemas.openxmlformats.org/officeDocument/2006/relationships/hyperlink" Target="#'P1128'!A1" TargetMode="External" Id="rId4"/><Relationship Type="http://schemas.openxmlformats.org/officeDocument/2006/relationships/hyperlink" Target="#'P1220'!A1" TargetMode="External" Id="rId5"/><Relationship Type="http://schemas.openxmlformats.org/officeDocument/2006/relationships/hyperlink" Target="#'P1240'!A1" TargetMode="External" Id="rId6"/><Relationship Type="http://schemas.openxmlformats.org/officeDocument/2006/relationships/hyperlink" Target="#'P134'!A1" TargetMode="External" Id="rId7"/><Relationship Type="http://schemas.openxmlformats.org/officeDocument/2006/relationships/hyperlink" Target="#'P141'!A1" TargetMode="External" Id="rId8"/><Relationship Type="http://schemas.openxmlformats.org/officeDocument/2006/relationships/hyperlink" Target="#'P1421'!A1" TargetMode="External" Id="rId9"/><Relationship Type="http://schemas.openxmlformats.org/officeDocument/2006/relationships/hyperlink" Target="#'P1594'!A1" TargetMode="External" Id="rId10"/><Relationship Type="http://schemas.openxmlformats.org/officeDocument/2006/relationships/hyperlink" Target="#'P1595'!A1" TargetMode="External" Id="rId11"/><Relationship Type="http://schemas.openxmlformats.org/officeDocument/2006/relationships/hyperlink" Target="#'P1638'!A1" TargetMode="External" Id="rId12"/><Relationship Type="http://schemas.openxmlformats.org/officeDocument/2006/relationships/hyperlink" Target="#'P166'!A1" TargetMode="External" Id="rId13"/><Relationship Type="http://schemas.openxmlformats.org/officeDocument/2006/relationships/hyperlink" Target="#'P1690'!A1" TargetMode="External" Id="rId14"/><Relationship Type="http://schemas.openxmlformats.org/officeDocument/2006/relationships/hyperlink" Target="#'P1874'!A1" TargetMode="External" Id="rId15"/><Relationship Type="http://schemas.openxmlformats.org/officeDocument/2006/relationships/hyperlink" Target="#'P193'!A1" TargetMode="External" Id="rId16"/><Relationship Type="http://schemas.openxmlformats.org/officeDocument/2006/relationships/hyperlink" Target="#'P1983'!A1" TargetMode="External" Id="rId17"/><Relationship Type="http://schemas.openxmlformats.org/officeDocument/2006/relationships/hyperlink" Target="#'P199'!A1" TargetMode="External" Id="rId18"/><Relationship Type="http://schemas.openxmlformats.org/officeDocument/2006/relationships/hyperlink" Target="#'P2007'!A1" TargetMode="External" Id="rId19"/><Relationship Type="http://schemas.openxmlformats.org/officeDocument/2006/relationships/hyperlink" Target="#'P206'!A1" TargetMode="External" Id="rId20"/><Relationship Type="http://schemas.openxmlformats.org/officeDocument/2006/relationships/hyperlink" Target="#'P208'!A1" TargetMode="External" Id="rId21"/><Relationship Type="http://schemas.openxmlformats.org/officeDocument/2006/relationships/hyperlink" Target="#'P435'!A1" TargetMode="External" Id="rId22"/><Relationship Type="http://schemas.openxmlformats.org/officeDocument/2006/relationships/hyperlink" Target="#'P451'!A1" TargetMode="External" Id="rId23"/><Relationship Type="http://schemas.openxmlformats.org/officeDocument/2006/relationships/hyperlink" Target="#'P461'!A1" TargetMode="External" Id="rId24"/><Relationship Type="http://schemas.openxmlformats.org/officeDocument/2006/relationships/hyperlink" Target="#'P626'!A1" TargetMode="External" Id="rId25"/><Relationship Type="http://schemas.openxmlformats.org/officeDocument/2006/relationships/hyperlink" Target="#'P756'!A1" TargetMode="External" Id="rId26"/><Relationship Type="http://schemas.openxmlformats.org/officeDocument/2006/relationships/hyperlink" Target="#'P856'!A1" TargetMode="External" Id="rId27"/><Relationship Type="http://schemas.openxmlformats.org/officeDocument/2006/relationships/hyperlink" Target="#'P943'!A1" TargetMode="External" Id="rId28"/><Relationship Type="http://schemas.openxmlformats.org/officeDocument/2006/relationships/hyperlink" Target="#'P961'!A1" TargetMode="External" Id="rId29"/><Relationship Type="http://schemas.openxmlformats.org/officeDocument/2006/relationships/hyperlink" Target="#'P988'!A1" TargetMode="External" Id="rId30"/></Relationships>
</file>

<file path=xl/worksheets/sheet1.xml><?xml version="1.0" encoding="utf-8"?>
<worksheet xmlns="http://schemas.openxmlformats.org/spreadsheetml/2006/main">
  <sheetPr>
    <outlinePr summaryBelow="1" summaryRight="1"/>
    <pageSetUpPr/>
  </sheetPr>
  <dimension ref="A1:H33"/>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11" customWidth="1" min="3" max="3"/>
    <col width="11" customWidth="1" min="4" max="4"/>
    <col width="11" customWidth="1" min="5" max="5"/>
    <col width="11" customWidth="1" min="6" max="6"/>
    <col width="11" customWidth="1" min="7" max="7"/>
    <col width="10" customWidth="1" min="8" max="8"/>
  </cols>
  <sheetData>
    <row r="1" ht="28" customHeight="1">
      <c r="A1" s="1" t="inlineStr">
        <is>
          <t>Annotation Review — Summary</t>
        </is>
      </c>
    </row>
    <row r="2" ht="24" customHeight="1">
      <c r="A2" s="2" t="inlineStr">
        <is>
          <t>Paper ID</t>
        </is>
      </c>
      <c r="B2" s="2" t="inlineStr">
        <is>
          <t>Title</t>
        </is>
      </c>
      <c r="C2" s="2" t="inlineStr">
        <is>
          <t>Extracted</t>
        </is>
      </c>
      <c r="D2" s="2" t="inlineStr">
        <is>
          <t>Approved</t>
        </is>
      </c>
      <c r="E2" s="2" t="inlineStr">
        <is>
          <t>Rejected</t>
        </is>
      </c>
      <c r="F2" s="2" t="inlineStr">
        <is>
          <t>Modified</t>
        </is>
      </c>
      <c r="G2" s="2" t="inlineStr">
        <is>
          <t>Pending</t>
        </is>
      </c>
      <c r="H2" s="2" t="inlineStr">
        <is>
          <t>Sheet</t>
        </is>
      </c>
    </row>
    <row r="3">
      <c r="A3" s="3" t="inlineStr">
        <is>
          <t>1021</t>
        </is>
      </c>
      <c r="B3" s="4" t="inlineStr">
        <is>
          <t>Oral Microbiome of Crohn's Disease Patients With and Without Oral Manifestations</t>
        </is>
      </c>
      <c r="C3" s="3" t="n">
        <v>14</v>
      </c>
      <c r="D3" s="3">
        <f>COUNTIF('P1021'!M3:M16,"approved")</f>
        <v/>
      </c>
      <c r="E3" s="3">
        <f>COUNTIF('P1021'!M3:M16,"rejected")</f>
        <v/>
      </c>
      <c r="F3" s="3">
        <f>COUNTIF('P1021'!M3:M16,"modified")</f>
        <v/>
      </c>
      <c r="G3" s="3">
        <f>14-D3-E3-F3</f>
        <v/>
      </c>
      <c r="H3" s="5" t="inlineStr">
        <is>
          <t>→ P1021</t>
        </is>
      </c>
    </row>
    <row r="4">
      <c r="A4" s="6" t="inlineStr">
        <is>
          <t>1100</t>
        </is>
      </c>
      <c r="B4" s="7" t="inlineStr">
        <is>
          <t>Lung function and microbiota diversity in cystic fibrosis</t>
        </is>
      </c>
      <c r="C4" s="6" t="n">
        <v>12</v>
      </c>
      <c r="D4" s="6">
        <f>COUNTIF('P1100'!M3:M14,"approved")</f>
        <v/>
      </c>
      <c r="E4" s="6">
        <f>COUNTIF('P1100'!M3:M14,"rejected")</f>
        <v/>
      </c>
      <c r="F4" s="6">
        <f>COUNTIF('P1100'!M3:M14,"modified")</f>
        <v/>
      </c>
      <c r="G4" s="6">
        <f>12-D4-E4-F4</f>
        <v/>
      </c>
      <c r="H4" s="8" t="inlineStr">
        <is>
          <t>→ P1100</t>
        </is>
      </c>
    </row>
    <row r="5">
      <c r="A5" s="3" t="inlineStr">
        <is>
          <t>1117</t>
        </is>
      </c>
      <c r="B5" s="4" t="inlineStr">
        <is>
          <t>The closed eye harbours a unique microbiome in dry eye disease</t>
        </is>
      </c>
      <c r="C5" s="3" t="n">
        <v>40</v>
      </c>
      <c r="D5" s="3">
        <f>COUNTIF('P1117'!M3:M42,"approved")</f>
        <v/>
      </c>
      <c r="E5" s="3">
        <f>COUNTIF('P1117'!M3:M42,"rejected")</f>
        <v/>
      </c>
      <c r="F5" s="3">
        <f>COUNTIF('P1117'!M3:M42,"modified")</f>
        <v/>
      </c>
      <c r="G5" s="3">
        <f>40-D5-E5-F5</f>
        <v/>
      </c>
      <c r="H5" s="5" t="inlineStr">
        <is>
          <t>→ P1117</t>
        </is>
      </c>
    </row>
    <row r="6">
      <c r="A6" s="6" t="inlineStr">
        <is>
          <t>1128</t>
        </is>
      </c>
      <c r="B6" s="7" t="inlineStr">
        <is>
          <t>Fecal Microbiota Transplantation (FMT) From a Human at Low Risk for Alzheimer's Disease Improves Short-Term Recognition Memory and Increases Neuroinflammation in a 3xTg AD Mouse Model</t>
        </is>
      </c>
      <c r="C6" s="6" t="n">
        <v>12</v>
      </c>
      <c r="D6" s="6">
        <f>COUNTIF('P1128'!M3:M14,"approved")</f>
        <v/>
      </c>
      <c r="E6" s="6">
        <f>COUNTIF('P1128'!M3:M14,"rejected")</f>
        <v/>
      </c>
      <c r="F6" s="6">
        <f>COUNTIF('P1128'!M3:M14,"modified")</f>
        <v/>
      </c>
      <c r="G6" s="6">
        <f>12-D6-E6-F6</f>
        <v/>
      </c>
      <c r="H6" s="8" t="inlineStr">
        <is>
          <t>→ P1128</t>
        </is>
      </c>
    </row>
    <row r="7">
      <c r="A7" s="3" t="inlineStr">
        <is>
          <t>1220</t>
        </is>
      </c>
      <c r="B7" s="4" t="inlineStr">
        <is>
          <t>Comparative analysis of the bronchoalveolar microbiome in Portuguese patients with different chronic lung disorders</t>
        </is>
      </c>
      <c r="C7" s="3" t="n">
        <v>7</v>
      </c>
      <c r="D7" s="3">
        <f>COUNTIF('P1220'!M3:M9,"approved")</f>
        <v/>
      </c>
      <c r="E7" s="3">
        <f>COUNTIF('P1220'!M3:M9,"rejected")</f>
        <v/>
      </c>
      <c r="F7" s="3">
        <f>COUNTIF('P1220'!M3:M9,"modified")</f>
        <v/>
      </c>
      <c r="G7" s="3">
        <f>7-D7-E7-F7</f>
        <v/>
      </c>
      <c r="H7" s="5" t="inlineStr">
        <is>
          <t>→ P1220</t>
        </is>
      </c>
    </row>
    <row r="8">
      <c r="A8" s="6" t="inlineStr">
        <is>
          <t>1240</t>
        </is>
      </c>
      <c r="B8" s="7" t="inlineStr">
        <is>
          <t>Whole Genome Profiling of Lung Microbiome in Solid Organ Transplant Recipients Reveals Virus Involved Microecology May Worsen Prognosis</t>
        </is>
      </c>
      <c r="C8" s="6" t="n">
        <v>4</v>
      </c>
      <c r="D8" s="6">
        <f>COUNTIF('P1240'!M3:M6,"approved")</f>
        <v/>
      </c>
      <c r="E8" s="6">
        <f>COUNTIF('P1240'!M3:M6,"rejected")</f>
        <v/>
      </c>
      <c r="F8" s="6">
        <f>COUNTIF('P1240'!M3:M6,"modified")</f>
        <v/>
      </c>
      <c r="G8" s="6">
        <f>4-D8-E8-F8</f>
        <v/>
      </c>
      <c r="H8" s="8" t="inlineStr">
        <is>
          <t>→ P1240</t>
        </is>
      </c>
    </row>
    <row r="9">
      <c r="A9" s="3" t="inlineStr">
        <is>
          <t>134</t>
        </is>
      </c>
      <c r="B9" s="4" t="inlineStr">
        <is>
          <t>Shotgun metagenomics reveals the gut microbial diversity and functions in Vespa mandarinia (Hymenoptera: Vespidae) at multiple life stages</t>
        </is>
      </c>
      <c r="C9" s="3" t="n">
        <v>0</v>
      </c>
      <c r="D9" s="3" t="n">
        <v>0</v>
      </c>
      <c r="E9" s="3" t="n">
        <v>0</v>
      </c>
      <c r="F9" s="3" t="n">
        <v>0</v>
      </c>
      <c r="G9" s="3" t="inlineStr">
        <is>
          <t>manual</t>
        </is>
      </c>
      <c r="H9" s="5" t="inlineStr">
        <is>
          <t>→ P134</t>
        </is>
      </c>
    </row>
    <row r="10">
      <c r="A10" s="6" t="inlineStr">
        <is>
          <t>141</t>
        </is>
      </c>
      <c r="B10" s="7" t="inlineStr">
        <is>
          <t>Reproducibility and Comparability of Fecal Microbiome Associations with Colorectal Cancer in a Cross-Sectional Study</t>
        </is>
      </c>
      <c r="C10" s="6" t="n">
        <v>13</v>
      </c>
      <c r="D10" s="6">
        <f>COUNTIF('P141'!M3:M15,"approved")</f>
        <v/>
      </c>
      <c r="E10" s="6">
        <f>COUNTIF('P141'!M3:M15,"rejected")</f>
        <v/>
      </c>
      <c r="F10" s="6">
        <f>COUNTIF('P141'!M3:M15,"modified")</f>
        <v/>
      </c>
      <c r="G10" s="6">
        <f>13-D10-E10-F10</f>
        <v/>
      </c>
      <c r="H10" s="8" t="inlineStr">
        <is>
          <t>→ P141</t>
        </is>
      </c>
    </row>
    <row r="11">
      <c r="A11" s="3" t="inlineStr">
        <is>
          <t>1421</t>
        </is>
      </c>
      <c r="B11" s="4" t="inlineStr">
        <is>
          <t>Periodontitis-related salivary microbiota aggravates Alzheimer's disease via gut-brain axis crosstalk</t>
        </is>
      </c>
      <c r="C11" s="3" t="n">
        <v>15</v>
      </c>
      <c r="D11" s="3">
        <f>COUNTIF('P1421'!M3:M17,"approved")</f>
        <v/>
      </c>
      <c r="E11" s="3">
        <f>COUNTIF('P1421'!M3:M17,"rejected")</f>
        <v/>
      </c>
      <c r="F11" s="3">
        <f>COUNTIF('P1421'!M3:M17,"modified")</f>
        <v/>
      </c>
      <c r="G11" s="3">
        <f>15-D11-E11-F11</f>
        <v/>
      </c>
      <c r="H11" s="5" t="inlineStr">
        <is>
          <t>→ P1421</t>
        </is>
      </c>
    </row>
    <row r="12">
      <c r="A12" s="6" t="inlineStr">
        <is>
          <t>1594</t>
        </is>
      </c>
      <c r="B12" s="7" t="inlineStr">
        <is>
          <t>The altered sputum microbiome profile in patients with moderate and severe COPD exacerbations, compared to the healthy group in the Indian population</t>
        </is>
      </c>
      <c r="C12" s="6" t="n">
        <v>19</v>
      </c>
      <c r="D12" s="6">
        <f>COUNTIF('P1594'!M3:M21,"approved")</f>
        <v/>
      </c>
      <c r="E12" s="6">
        <f>COUNTIF('P1594'!M3:M21,"rejected")</f>
        <v/>
      </c>
      <c r="F12" s="6">
        <f>COUNTIF('P1594'!M3:M21,"modified")</f>
        <v/>
      </c>
      <c r="G12" s="6">
        <f>19-D12-E12-F12</f>
        <v/>
      </c>
      <c r="H12" s="8" t="inlineStr">
        <is>
          <t>→ P1594</t>
        </is>
      </c>
    </row>
    <row r="13">
      <c r="A13" s="3" t="inlineStr">
        <is>
          <t>1595</t>
        </is>
      </c>
      <c r="B13" s="4" t="inlineStr">
        <is>
          <t>Variations of the lung microbiome and immune response in mechanically ventilated surgical patients</t>
        </is>
      </c>
      <c r="C13" s="3" t="n">
        <v>15</v>
      </c>
      <c r="D13" s="3">
        <f>COUNTIF('P1595'!M3:M17,"approved")</f>
        <v/>
      </c>
      <c r="E13" s="3">
        <f>COUNTIF('P1595'!M3:M17,"rejected")</f>
        <v/>
      </c>
      <c r="F13" s="3">
        <f>COUNTIF('P1595'!M3:M17,"modified")</f>
        <v/>
      </c>
      <c r="G13" s="3">
        <f>15-D13-E13-F13</f>
        <v/>
      </c>
      <c r="H13" s="5" t="inlineStr">
        <is>
          <t>→ P1595</t>
        </is>
      </c>
    </row>
    <row r="14">
      <c r="A14" s="6" t="inlineStr">
        <is>
          <t>1638</t>
        </is>
      </c>
      <c r="B14" s="7" t="inlineStr">
        <is>
          <t>Fecal microbiota transplant overcomes resistance to anti-PD-1 therapy in melanoma patients</t>
        </is>
      </c>
      <c r="C14" s="6" t="n">
        <v>19</v>
      </c>
      <c r="D14" s="6">
        <f>COUNTIF('P1638'!M3:M21,"approved")</f>
        <v/>
      </c>
      <c r="E14" s="6">
        <f>COUNTIF('P1638'!M3:M21,"rejected")</f>
        <v/>
      </c>
      <c r="F14" s="6">
        <f>COUNTIF('P1638'!M3:M21,"modified")</f>
        <v/>
      </c>
      <c r="G14" s="6">
        <f>19-D14-E14-F14</f>
        <v/>
      </c>
      <c r="H14" s="8" t="inlineStr">
        <is>
          <t>→ P1638</t>
        </is>
      </c>
    </row>
    <row r="15">
      <c r="A15" s="3" t="inlineStr">
        <is>
          <t>166</t>
        </is>
      </c>
      <c r="B15" s="4" t="inlineStr">
        <is>
          <t>Salivary microbiome profiles of oral cancer patients analyzed before and after treatment</t>
        </is>
      </c>
      <c r="C15" s="3" t="n">
        <v>39</v>
      </c>
      <c r="D15" s="3">
        <f>COUNTIF('P166'!M3:M41,"approved")</f>
        <v/>
      </c>
      <c r="E15" s="3">
        <f>COUNTIF('P166'!M3:M41,"rejected")</f>
        <v/>
      </c>
      <c r="F15" s="3">
        <f>COUNTIF('P166'!M3:M41,"modified")</f>
        <v/>
      </c>
      <c r="G15" s="3">
        <f>39-D15-E15-F15</f>
        <v/>
      </c>
      <c r="H15" s="5" t="inlineStr">
        <is>
          <t>→ P166</t>
        </is>
      </c>
    </row>
    <row r="16">
      <c r="A16" s="6" t="inlineStr">
        <is>
          <t>1690</t>
        </is>
      </c>
      <c r="B16" s="7" t="inlineStr">
        <is>
          <t>Disrupted gut microbiota promotes the progression of chronic kidney disease in 5/6 nephrectomy mice by Bacillus pumilus gavage</t>
        </is>
      </c>
      <c r="C16" s="6" t="n">
        <v>7</v>
      </c>
      <c r="D16" s="6">
        <f>COUNTIF('P1690'!M3:M9,"approved")</f>
        <v/>
      </c>
      <c r="E16" s="6">
        <f>COUNTIF('P1690'!M3:M9,"rejected")</f>
        <v/>
      </c>
      <c r="F16" s="6">
        <f>COUNTIF('P1690'!M3:M9,"modified")</f>
        <v/>
      </c>
      <c r="G16" s="6">
        <f>7-D16-E16-F16</f>
        <v/>
      </c>
      <c r="H16" s="8" t="inlineStr">
        <is>
          <t>→ P1690</t>
        </is>
      </c>
    </row>
    <row r="17">
      <c r="A17" s="3" t="inlineStr">
        <is>
          <t>1874</t>
        </is>
      </c>
      <c r="B17" s="4" t="inlineStr">
        <is>
          <t>Characteristics of tongue coating microbiota in diabetic and non-diabetic kidney patients receiving hemodialysis</t>
        </is>
      </c>
      <c r="C17" s="3" t="n">
        <v>24</v>
      </c>
      <c r="D17" s="3">
        <f>COUNTIF('P1874'!M3:M26,"approved")</f>
        <v/>
      </c>
      <c r="E17" s="3">
        <f>COUNTIF('P1874'!M3:M26,"rejected")</f>
        <v/>
      </c>
      <c r="F17" s="3">
        <f>COUNTIF('P1874'!M3:M26,"modified")</f>
        <v/>
      </c>
      <c r="G17" s="3">
        <f>24-D17-E17-F17</f>
        <v/>
      </c>
      <c r="H17" s="5" t="inlineStr">
        <is>
          <t>→ P1874</t>
        </is>
      </c>
    </row>
    <row r="18">
      <c r="A18" s="6" t="inlineStr">
        <is>
          <t>193</t>
        </is>
      </c>
      <c r="B18" s="7" t="inlineStr">
        <is>
          <t>Characterization of the nasal and oral microbiota of detection dogs</t>
        </is>
      </c>
      <c r="C18" s="6" t="n">
        <v>0</v>
      </c>
      <c r="D18" s="6" t="n">
        <v>0</v>
      </c>
      <c r="E18" s="6" t="n">
        <v>0</v>
      </c>
      <c r="F18" s="6" t="n">
        <v>0</v>
      </c>
      <c r="G18" s="6" t="inlineStr">
        <is>
          <t>manual</t>
        </is>
      </c>
      <c r="H18" s="8" t="inlineStr">
        <is>
          <t>→ P193</t>
        </is>
      </c>
    </row>
    <row r="19">
      <c r="A19" s="3" t="inlineStr">
        <is>
          <t>1983</t>
        </is>
      </c>
      <c r="B19" s="4" t="inlineStr">
        <is>
          <t>Brief antibiotic use drives human gut bacteria towards low-cost resistance</t>
        </is>
      </c>
      <c r="C19" s="3" t="n">
        <v>3</v>
      </c>
      <c r="D19" s="3">
        <f>COUNTIF('P1983'!M3:M5,"approved")</f>
        <v/>
      </c>
      <c r="E19" s="3">
        <f>COUNTIF('P1983'!M3:M5,"rejected")</f>
        <v/>
      </c>
      <c r="F19" s="3">
        <f>COUNTIF('P1983'!M3:M5,"modified")</f>
        <v/>
      </c>
      <c r="G19" s="3">
        <f>3-D19-E19-F19</f>
        <v/>
      </c>
      <c r="H19" s="5" t="inlineStr">
        <is>
          <t>→ P1983</t>
        </is>
      </c>
    </row>
    <row r="20">
      <c r="A20" s="6" t="inlineStr">
        <is>
          <t>199</t>
        </is>
      </c>
      <c r="B20" s="7" t="inlineStr">
        <is>
          <t>Distinct nasal airway bacterial microbiotas differentially relate to exacerbation in pediatric patients with asthma</t>
        </is>
      </c>
      <c r="C20" s="6" t="n">
        <v>19</v>
      </c>
      <c r="D20" s="6">
        <f>COUNTIF('P199'!M3:M21,"approved")</f>
        <v/>
      </c>
      <c r="E20" s="6">
        <f>COUNTIF('P199'!M3:M21,"rejected")</f>
        <v/>
      </c>
      <c r="F20" s="6">
        <f>COUNTIF('P199'!M3:M21,"modified")</f>
        <v/>
      </c>
      <c r="G20" s="6">
        <f>19-D20-E20-F20</f>
        <v/>
      </c>
      <c r="H20" s="8" t="inlineStr">
        <is>
          <t>→ P199</t>
        </is>
      </c>
    </row>
    <row r="21">
      <c r="A21" s="3" t="inlineStr">
        <is>
          <t>2007</t>
        </is>
      </c>
      <c r="B21" s="4" t="inlineStr">
        <is>
          <t>A population-scale analysis of 36 gut microbiome studies reveals universal species signatures for common diseases</t>
        </is>
      </c>
      <c r="C21" s="3" t="n">
        <v>66</v>
      </c>
      <c r="D21" s="3">
        <f>COUNTIF('P2007'!M3:M68,"approved")</f>
        <v/>
      </c>
      <c r="E21" s="3">
        <f>COUNTIF('P2007'!M3:M68,"rejected")</f>
        <v/>
      </c>
      <c r="F21" s="3">
        <f>COUNTIF('P2007'!M3:M68,"modified")</f>
        <v/>
      </c>
      <c r="G21" s="3">
        <f>66-D21-E21-F21</f>
        <v/>
      </c>
      <c r="H21" s="5" t="inlineStr">
        <is>
          <t>→ P2007</t>
        </is>
      </c>
    </row>
    <row r="22">
      <c r="A22" s="6" t="inlineStr">
        <is>
          <t>206</t>
        </is>
      </c>
      <c r="B22" s="7" t="inlineStr">
        <is>
          <t>Gut-associated microbes are present and active in the pig nasal cavity</t>
        </is>
      </c>
      <c r="C22" s="6" t="n">
        <v>1</v>
      </c>
      <c r="D22" s="6">
        <f>COUNTIF('P206'!M3:M3,"approved")</f>
        <v/>
      </c>
      <c r="E22" s="6">
        <f>COUNTIF('P206'!M3:M3,"rejected")</f>
        <v/>
      </c>
      <c r="F22" s="6">
        <f>COUNTIF('P206'!M3:M3,"modified")</f>
        <v/>
      </c>
      <c r="G22" s="6">
        <f>1-D22-E22-F22</f>
        <v/>
      </c>
      <c r="H22" s="8" t="inlineStr">
        <is>
          <t>→ P206</t>
        </is>
      </c>
    </row>
    <row r="23">
      <c r="A23" s="3" t="inlineStr">
        <is>
          <t>208</t>
        </is>
      </c>
      <c r="B23" s="4" t="inlineStr">
        <is>
          <t>Determination of nasal and oropharyngeal microbiomes in a multicenter population-based study – findings from Pretest 1 of the German National Cohort</t>
        </is>
      </c>
      <c r="C23" s="3" t="n">
        <v>0</v>
      </c>
      <c r="D23" s="3" t="n">
        <v>0</v>
      </c>
      <c r="E23" s="3" t="n">
        <v>0</v>
      </c>
      <c r="F23" s="3" t="n">
        <v>0</v>
      </c>
      <c r="G23" s="3" t="inlineStr">
        <is>
          <t>manual</t>
        </is>
      </c>
      <c r="H23" s="5" t="inlineStr">
        <is>
          <t>→ P208</t>
        </is>
      </c>
    </row>
    <row r="24">
      <c r="A24" s="6" t="inlineStr">
        <is>
          <t>435</t>
        </is>
      </c>
      <c r="B24" s="7" t="inlineStr">
        <is>
          <t>Dynamic alterations in the lung microbiota in a rat model of lipopolysaccharide-induced acute lung injury</t>
        </is>
      </c>
      <c r="C24" s="6" t="n">
        <v>20</v>
      </c>
      <c r="D24" s="6">
        <f>COUNTIF('P435'!M3:M22,"approved")</f>
        <v/>
      </c>
      <c r="E24" s="6">
        <f>COUNTIF('P435'!M3:M22,"rejected")</f>
        <v/>
      </c>
      <c r="F24" s="6">
        <f>COUNTIF('P435'!M3:M22,"modified")</f>
        <v/>
      </c>
      <c r="G24" s="6">
        <f>20-D24-E24-F24</f>
        <v/>
      </c>
      <c r="H24" s="8" t="inlineStr">
        <is>
          <t>→ P435</t>
        </is>
      </c>
    </row>
    <row r="25">
      <c r="A25" s="3" t="inlineStr">
        <is>
          <t>451</t>
        </is>
      </c>
      <c r="B25" s="4" t="inlineStr">
        <is>
          <t>Characterization of the upper and lower respiratory tract microbiota in Piedmontese calves</t>
        </is>
      </c>
      <c r="C25" s="3" t="n">
        <v>14</v>
      </c>
      <c r="D25" s="3">
        <f>COUNTIF('P451'!M3:M16,"approved")</f>
        <v/>
      </c>
      <c r="E25" s="3">
        <f>COUNTIF('P451'!M3:M16,"rejected")</f>
        <v/>
      </c>
      <c r="F25" s="3">
        <f>COUNTIF('P451'!M3:M16,"modified")</f>
        <v/>
      </c>
      <c r="G25" s="3">
        <f>14-D25-E25-F25</f>
        <v/>
      </c>
      <c r="H25" s="5" t="inlineStr">
        <is>
          <t>→ P451</t>
        </is>
      </c>
    </row>
    <row r="26">
      <c r="A26" s="6" t="inlineStr">
        <is>
          <t>461</t>
        </is>
      </c>
      <c r="B26" s="7" t="inlineStr">
        <is>
          <t>Impact of Fecal Microbiota Transplantation on Gut Bacterial Bile Acid Metabolism in Humans</t>
        </is>
      </c>
      <c r="C26" s="6" t="n">
        <v>15</v>
      </c>
      <c r="D26" s="6">
        <f>COUNTIF('P461'!M3:M17,"approved")</f>
        <v/>
      </c>
      <c r="E26" s="6">
        <f>COUNTIF('P461'!M3:M17,"rejected")</f>
        <v/>
      </c>
      <c r="F26" s="6">
        <f>COUNTIF('P461'!M3:M17,"modified")</f>
        <v/>
      </c>
      <c r="G26" s="6">
        <f>15-D26-E26-F26</f>
        <v/>
      </c>
      <c r="H26" s="8" t="inlineStr">
        <is>
          <t>→ P461</t>
        </is>
      </c>
    </row>
    <row r="27">
      <c r="A27" s="3" t="inlineStr">
        <is>
          <t>626</t>
        </is>
      </c>
      <c r="B27" s="4" t="inlineStr">
        <is>
          <t>Whole genome sequencing revealed microbiome in lung adenocarcinomas presented as ground-glass nodules</t>
        </is>
      </c>
      <c r="C27" s="3" t="n">
        <v>5</v>
      </c>
      <c r="D27" s="3">
        <f>COUNTIF('P626'!M3:M7,"approved")</f>
        <v/>
      </c>
      <c r="E27" s="3">
        <f>COUNTIF('P626'!M3:M7,"rejected")</f>
        <v/>
      </c>
      <c r="F27" s="3">
        <f>COUNTIF('P626'!M3:M7,"modified")</f>
        <v/>
      </c>
      <c r="G27" s="3">
        <f>5-D27-E27-F27</f>
        <v/>
      </c>
      <c r="H27" s="5" t="inlineStr">
        <is>
          <t>→ P626</t>
        </is>
      </c>
    </row>
    <row r="28">
      <c r="A28" s="6" t="inlineStr">
        <is>
          <t>756</t>
        </is>
      </c>
      <c r="B28" s="7" t="inlineStr">
        <is>
          <t>The Effects of Electronic Cigarettes on Oral Microbiome and Metabolome in 3D Tissue-Engineered Models</t>
        </is>
      </c>
      <c r="C28" s="6" t="n">
        <v>17</v>
      </c>
      <c r="D28" s="6">
        <f>COUNTIF('P756'!M3:M19,"approved")</f>
        <v/>
      </c>
      <c r="E28" s="6">
        <f>COUNTIF('P756'!M3:M19,"rejected")</f>
        <v/>
      </c>
      <c r="F28" s="6">
        <f>COUNTIF('P756'!M3:M19,"modified")</f>
        <v/>
      </c>
      <c r="G28" s="6">
        <f>17-D28-E28-F28</f>
        <v/>
      </c>
      <c r="H28" s="8" t="inlineStr">
        <is>
          <t>→ P756</t>
        </is>
      </c>
    </row>
    <row r="29">
      <c r="A29" s="3" t="inlineStr">
        <is>
          <t>856</t>
        </is>
      </c>
      <c r="B29" s="4" t="inlineStr">
        <is>
          <t>Gut microbiome and schizophrenia: insights from two-sample Mendelian randomization</t>
        </is>
      </c>
      <c r="C29" s="3" t="n">
        <v>26</v>
      </c>
      <c r="D29" s="3">
        <f>COUNTIF('P856'!M3:M28,"approved")</f>
        <v/>
      </c>
      <c r="E29" s="3">
        <f>COUNTIF('P856'!M3:M28,"rejected")</f>
        <v/>
      </c>
      <c r="F29" s="3">
        <f>COUNTIF('P856'!M3:M28,"modified")</f>
        <v/>
      </c>
      <c r="G29" s="3">
        <f>26-D29-E29-F29</f>
        <v/>
      </c>
      <c r="H29" s="5" t="inlineStr">
        <is>
          <t>→ P856</t>
        </is>
      </c>
    </row>
    <row r="30">
      <c r="A30" s="6" t="inlineStr">
        <is>
          <t>943</t>
        </is>
      </c>
      <c r="B30" s="7" t="inlineStr">
        <is>
          <t>Oral Microbiome in Nonsmoker Patients with Oral Cavity Squamous Cell Carcinoma, Defined by Metagenomic Shotgun Sequencing</t>
        </is>
      </c>
      <c r="C30" s="6" t="n">
        <v>30</v>
      </c>
      <c r="D30" s="6">
        <f>COUNTIF('P943'!M3:M32,"approved")</f>
        <v/>
      </c>
      <c r="E30" s="6">
        <f>COUNTIF('P943'!M3:M32,"rejected")</f>
        <v/>
      </c>
      <c r="F30" s="6">
        <f>COUNTIF('P943'!M3:M32,"modified")</f>
        <v/>
      </c>
      <c r="G30" s="6">
        <f>30-D30-E30-F30</f>
        <v/>
      </c>
      <c r="H30" s="8" t="inlineStr">
        <is>
          <t>→ P943</t>
        </is>
      </c>
    </row>
    <row r="31">
      <c r="A31" s="3" t="inlineStr">
        <is>
          <t>961</t>
        </is>
      </c>
      <c r="B31" s="4" t="inlineStr">
        <is>
          <t>Microbiota in Gut, Oral Cavity, and Mitral Valves Are Associated With Rheumatic Heart Disease</t>
        </is>
      </c>
      <c r="C31" s="3" t="n">
        <v>46</v>
      </c>
      <c r="D31" s="3">
        <f>COUNTIF('P961'!M3:M48,"approved")</f>
        <v/>
      </c>
      <c r="E31" s="3">
        <f>COUNTIF('P961'!M3:M48,"rejected")</f>
        <v/>
      </c>
      <c r="F31" s="3">
        <f>COUNTIF('P961'!M3:M48,"modified")</f>
        <v/>
      </c>
      <c r="G31" s="3">
        <f>46-D31-E31-F31</f>
        <v/>
      </c>
      <c r="H31" s="5" t="inlineStr">
        <is>
          <t>→ P961</t>
        </is>
      </c>
    </row>
    <row r="32">
      <c r="A32" s="6" t="inlineStr">
        <is>
          <t>988</t>
        </is>
      </c>
      <c r="B32" s="7" t="inlineStr">
        <is>
          <t>THE ROLE OF GUT MICROBIOTA IN FETAL METHYLMERCURY EXPOSURE: INSIGHTS FROM A PILOT STUDY</t>
        </is>
      </c>
      <c r="C32" s="6" t="n">
        <v>8</v>
      </c>
      <c r="D32" s="6">
        <f>COUNTIF('P988'!M3:M10,"approved")</f>
        <v/>
      </c>
      <c r="E32" s="6">
        <f>COUNTIF('P988'!M3:M10,"rejected")</f>
        <v/>
      </c>
      <c r="F32" s="6">
        <f>COUNTIF('P988'!M3:M10,"modified")</f>
        <v/>
      </c>
      <c r="G32" s="6">
        <f>8-D32-E32-F32</f>
        <v/>
      </c>
      <c r="H32" s="8" t="inlineStr">
        <is>
          <t>→ P988</t>
        </is>
      </c>
    </row>
    <row r="33">
      <c r="A33" s="9" t="inlineStr">
        <is>
          <t>TOTAL</t>
        </is>
      </c>
      <c r="B33" s="10" t="n"/>
      <c r="C33" s="11">
        <f>SUM(C3:C32)</f>
        <v/>
      </c>
      <c r="D33" s="11">
        <f>SUM(D3:D32)</f>
        <v/>
      </c>
      <c r="E33" s="11">
        <f>SUM(E3:E32)</f>
        <v/>
      </c>
      <c r="F33" s="11">
        <f>SUM(F3:F32)</f>
        <v/>
      </c>
      <c r="G33" s="11">
        <f>SUM(G3:G32)</f>
        <v/>
      </c>
    </row>
  </sheetData>
  <mergeCells count="1">
    <mergeCell ref="A1:F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1021 — Oral Microbiome of Crohn's Disease Patients With and Without Oral Manifestations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Actinomycetota</t>
        </is>
      </c>
      <c r="B3" s="16" t="inlineStr">
        <is>
          <t>bacteria</t>
        </is>
      </c>
      <c r="C3" s="16" t="inlineStr">
        <is>
          <t>phylum</t>
        </is>
      </c>
      <c r="D3" s="16" t="inlineStr">
        <is>
          <t>Crohn's disease</t>
        </is>
      </c>
      <c r="E3" s="17" t="inlineStr">
        <is>
          <t>increased</t>
        </is>
      </c>
      <c r="F3" s="16" t="inlineStr">
        <is>
          <t>disease_vs_control</t>
        </is>
      </c>
      <c r="G3" s="16" t="inlineStr">
        <is>
          <t>oral</t>
        </is>
      </c>
      <c r="H3" s="16" t="inlineStr"/>
      <c r="I3" s="16" t="inlineStr">
        <is>
          <t>medium</t>
        </is>
      </c>
      <c r="J3" s="18" t="inlineStr">
        <is>
          <t>verified</t>
        </is>
      </c>
      <c r="K3" s="18" t="inlineStr">
        <is>
          <t>keep</t>
        </is>
      </c>
      <c r="L3" s="19" t="inlineStr">
        <is>
          <t>Patients with CD were found to have increased saliva microbial species of the phyla Actinomycetota [Actinobacteria] and Pseudomonadota [Proteobacteria], but no significant differences in the total abundance of microbial species of the phyla Bacillota [Firmicutes] and Bacteroidota [Bacteroidetes]</t>
        </is>
      </c>
      <c r="M3" s="20" t="inlineStr"/>
      <c r="N3" s="21" t="inlineStr"/>
      <c r="O3" s="21" t="inlineStr"/>
    </row>
    <row r="4" ht="20" customHeight="1">
      <c r="A4" s="22" t="inlineStr">
        <is>
          <t>Pseudomonadota</t>
        </is>
      </c>
      <c r="B4" s="22" t="inlineStr">
        <is>
          <t>bacteria</t>
        </is>
      </c>
      <c r="C4" s="22" t="inlineStr">
        <is>
          <t>phylum</t>
        </is>
      </c>
      <c r="D4" s="22" t="inlineStr">
        <is>
          <t>Crohn's disease</t>
        </is>
      </c>
      <c r="E4" s="17" t="inlineStr">
        <is>
          <t>increased</t>
        </is>
      </c>
      <c r="F4" s="22" t="inlineStr">
        <is>
          <t>disease_vs_control</t>
        </is>
      </c>
      <c r="G4" s="22" t="inlineStr">
        <is>
          <t>oral</t>
        </is>
      </c>
      <c r="H4" s="22" t="inlineStr"/>
      <c r="I4" s="22" t="inlineStr">
        <is>
          <t>medium</t>
        </is>
      </c>
      <c r="J4" s="23" t="inlineStr">
        <is>
          <t>verified</t>
        </is>
      </c>
      <c r="K4" s="23" t="inlineStr">
        <is>
          <t>keep</t>
        </is>
      </c>
      <c r="L4" s="24" t="inlineStr">
        <is>
          <t>Patients with CD were found to have increased saliva microbial species of the phyla Actinomycetota [Actinobacteria] and Pseudomonadota [Proteobacteria], but no significant differences in the total abundance of microbial species of the phyla Bacillota [Firmicutes] and Bacteroidota [Bacteroidetes]</t>
        </is>
      </c>
      <c r="M4" s="20" t="inlineStr"/>
      <c r="N4" s="21" t="inlineStr"/>
      <c r="O4" s="21" t="inlineStr"/>
    </row>
    <row r="5" ht="20" customHeight="1">
      <c r="A5" s="16" t="inlineStr">
        <is>
          <t>Bacillota</t>
        </is>
      </c>
      <c r="B5" s="16" t="inlineStr">
        <is>
          <t>bacteria</t>
        </is>
      </c>
      <c r="C5" s="16" t="inlineStr">
        <is>
          <t>phylum</t>
        </is>
      </c>
      <c r="D5" s="16" t="inlineStr">
        <is>
          <t>Crohn's disease</t>
        </is>
      </c>
      <c r="E5" s="25" t="inlineStr">
        <is>
          <t>unchanged</t>
        </is>
      </c>
      <c r="F5" s="16" t="inlineStr">
        <is>
          <t>disease_vs_control</t>
        </is>
      </c>
      <c r="G5" s="16" t="inlineStr">
        <is>
          <t>oral</t>
        </is>
      </c>
      <c r="H5" s="16" t="inlineStr"/>
      <c r="I5" s="16" t="inlineStr">
        <is>
          <t>medium</t>
        </is>
      </c>
      <c r="J5" s="18" t="inlineStr">
        <is>
          <t>verified</t>
        </is>
      </c>
      <c r="K5" s="18" t="inlineStr">
        <is>
          <t>keep</t>
        </is>
      </c>
      <c r="L5" s="19" t="inlineStr">
        <is>
          <t>Patients with CD were found to have increased saliva microbial species of the phyla Actinomycetota [Actinobacteria] and Pseudomonadota [Proteobacteria], but no significant differences in the total abundance of microbial species of the phyla Bacillota [Firmicutes] and Bacteroidota [Bacteroidetes], with a corresponding borderline increase in the ratio of Bacillota [Firmicutes] to Bacteroidota [Bacteroidetes], though not statistically significant [p = 0. 44]</t>
        </is>
      </c>
      <c r="M5" s="20" t="inlineStr"/>
      <c r="N5" s="21" t="inlineStr"/>
      <c r="O5" s="21" t="inlineStr"/>
    </row>
    <row r="6" ht="20" customHeight="1">
      <c r="A6" s="22" t="inlineStr">
        <is>
          <t>Bacteroidota</t>
        </is>
      </c>
      <c r="B6" s="22" t="inlineStr">
        <is>
          <t>bacteria</t>
        </is>
      </c>
      <c r="C6" s="22" t="inlineStr">
        <is>
          <t>phylum</t>
        </is>
      </c>
      <c r="D6" s="22" t="inlineStr">
        <is>
          <t>Crohn's disease</t>
        </is>
      </c>
      <c r="E6" s="25" t="inlineStr">
        <is>
          <t>unchanged</t>
        </is>
      </c>
      <c r="F6" s="22" t="inlineStr">
        <is>
          <t>disease_vs_control</t>
        </is>
      </c>
      <c r="G6" s="22" t="inlineStr">
        <is>
          <t>oral</t>
        </is>
      </c>
      <c r="H6" s="22" t="inlineStr"/>
      <c r="I6" s="22" t="inlineStr">
        <is>
          <t>medium</t>
        </is>
      </c>
      <c r="J6" s="23" t="inlineStr">
        <is>
          <t>verified</t>
        </is>
      </c>
      <c r="K6" s="23" t="inlineStr">
        <is>
          <t>keep</t>
        </is>
      </c>
      <c r="L6" s="24" t="inlineStr">
        <is>
          <t>Patients with CD were found to have increased saliva microbial species of the phyla Actinomycetota [Actinobacteria] and Pseudomonadota [Proteobacteria], but no significant differences in the total abundance of microbial species of the phyla Bacillota [Firmicutes] and Bacteroidota [Bacteroidetes]</t>
        </is>
      </c>
      <c r="M6" s="20" t="inlineStr"/>
      <c r="N6" s="21" t="inlineStr"/>
      <c r="O6" s="21" t="inlineStr"/>
    </row>
    <row r="7" ht="20" customHeight="1">
      <c r="A7" s="16" t="inlineStr">
        <is>
          <t>Roseburia intestinalis</t>
        </is>
      </c>
      <c r="B7" s="16" t="inlineStr">
        <is>
          <t>bacteria</t>
        </is>
      </c>
      <c r="C7" s="16" t="inlineStr">
        <is>
          <t>species</t>
        </is>
      </c>
      <c r="D7" s="16" t="inlineStr">
        <is>
          <t>Crohn's disease</t>
        </is>
      </c>
      <c r="E7" s="26" t="inlineStr">
        <is>
          <t>unclear</t>
        </is>
      </c>
      <c r="F7" s="16" t="inlineStr">
        <is>
          <t>disease_vs_control</t>
        </is>
      </c>
      <c r="G7" s="16" t="inlineStr">
        <is>
          <t>oral</t>
        </is>
      </c>
      <c r="H7" s="16" t="inlineStr"/>
      <c r="I7" s="16" t="inlineStr">
        <is>
          <t>medium</t>
        </is>
      </c>
      <c r="J7" s="18" t="inlineStr">
        <is>
          <t>verified</t>
        </is>
      </c>
      <c r="K7" s="18" t="inlineStr">
        <is>
          <t>keep_flagged</t>
        </is>
      </c>
      <c r="L7" s="19" t="inlineStr">
        <is>
          <t>Four microbial species each were found associated with either cobblestoning [Roseburia intestinalis, Bacteroides vulgatus, Clostridium asparagiforme and Bacteriodes dorei] or oral ulcers [Turicimonas muris, Anaerostipes hadrus, Clostridium bolteae and Roseburia inulinivorans].</t>
        </is>
      </c>
      <c r="M7" s="20" t="inlineStr"/>
      <c r="N7" s="21" t="inlineStr"/>
      <c r="O7" s="21" t="inlineStr"/>
    </row>
    <row r="8" ht="20" customHeight="1">
      <c r="A8" s="22" t="inlineStr">
        <is>
          <t>Bacteroides vulgatus</t>
        </is>
      </c>
      <c r="B8" s="22" t="inlineStr">
        <is>
          <t>bacteria</t>
        </is>
      </c>
      <c r="C8" s="22" t="inlineStr">
        <is>
          <t>species</t>
        </is>
      </c>
      <c r="D8" s="22" t="inlineStr">
        <is>
          <t>Crohn's disease</t>
        </is>
      </c>
      <c r="E8" s="26" t="inlineStr">
        <is>
          <t>unclear</t>
        </is>
      </c>
      <c r="F8" s="22" t="inlineStr">
        <is>
          <t>disease_vs_control</t>
        </is>
      </c>
      <c r="G8" s="22" t="inlineStr">
        <is>
          <t>oral</t>
        </is>
      </c>
      <c r="H8" s="22" t="inlineStr"/>
      <c r="I8" s="22" t="inlineStr">
        <is>
          <t>medium</t>
        </is>
      </c>
      <c r="J8" s="23" t="inlineStr">
        <is>
          <t>verified</t>
        </is>
      </c>
      <c r="K8" s="23" t="inlineStr">
        <is>
          <t>keep_flagged</t>
        </is>
      </c>
      <c r="L8" s="24" t="inlineStr">
        <is>
          <t>Four microbial species each were found associated with either cobblestoning [Roseburia intestinalis, Bacteroides vulgatus, Clostridium asparagiforme and Bacteriodes dorei] or oral ulcers [Turicimonas muris, Anaerostipes hadrus, Clostridium bolteae and Roseburia inulinivorans].</t>
        </is>
      </c>
      <c r="M8" s="20" t="inlineStr"/>
      <c r="N8" s="21" t="inlineStr"/>
      <c r="O8" s="21" t="inlineStr"/>
    </row>
    <row r="9" ht="20" customHeight="1">
      <c r="A9" s="16" t="inlineStr">
        <is>
          <t>Clostridium asparagiforme</t>
        </is>
      </c>
      <c r="B9" s="16" t="inlineStr">
        <is>
          <t>bacteria</t>
        </is>
      </c>
      <c r="C9" s="16" t="inlineStr">
        <is>
          <t>species</t>
        </is>
      </c>
      <c r="D9" s="16" t="inlineStr">
        <is>
          <t>Crohn's disease</t>
        </is>
      </c>
      <c r="E9" s="26" t="inlineStr">
        <is>
          <t>unclear</t>
        </is>
      </c>
      <c r="F9" s="16" t="inlineStr">
        <is>
          <t>disease_vs_control</t>
        </is>
      </c>
      <c r="G9" s="16" t="inlineStr">
        <is>
          <t>oral</t>
        </is>
      </c>
      <c r="H9" s="16" t="inlineStr"/>
      <c r="I9" s="16" t="inlineStr">
        <is>
          <t>medium</t>
        </is>
      </c>
      <c r="J9" s="18" t="inlineStr">
        <is>
          <t>verified</t>
        </is>
      </c>
      <c r="K9" s="18" t="inlineStr">
        <is>
          <t>keep_flagged</t>
        </is>
      </c>
      <c r="L9" s="19" t="inlineStr">
        <is>
          <t>Four microbial species each were found associated with either cobblestoning [Roseburia intestinalis, Bacteroides vulgatus, Clostridium asparagiforme and Bacteriodes dorei] or oral ulcers [Turicimonas muris, Anaerostipes hadrus, Clostridium bolteae and Roseburia inulinivorans].</t>
        </is>
      </c>
      <c r="M9" s="20" t="inlineStr"/>
      <c r="N9" s="21" t="inlineStr"/>
      <c r="O9" s="21" t="inlineStr"/>
    </row>
    <row r="10" ht="20" customHeight="1">
      <c r="A10" s="22" t="inlineStr">
        <is>
          <t>Bacteroides dorei</t>
        </is>
      </c>
      <c r="B10" s="22" t="inlineStr">
        <is>
          <t>bacteria</t>
        </is>
      </c>
      <c r="C10" s="22" t="inlineStr">
        <is>
          <t>species</t>
        </is>
      </c>
      <c r="D10" s="22" t="inlineStr">
        <is>
          <t>Crohn's disease</t>
        </is>
      </c>
      <c r="E10" s="26" t="inlineStr">
        <is>
          <t>unclear</t>
        </is>
      </c>
      <c r="F10" s="22" t="inlineStr">
        <is>
          <t>disease_vs_control</t>
        </is>
      </c>
      <c r="G10" s="22" t="inlineStr">
        <is>
          <t>oral</t>
        </is>
      </c>
      <c r="H10" s="22" t="inlineStr"/>
      <c r="I10" s="22" t="inlineStr">
        <is>
          <t>medium</t>
        </is>
      </c>
      <c r="J10" s="23" t="inlineStr">
        <is>
          <t>verified</t>
        </is>
      </c>
      <c r="K10" s="23" t="inlineStr">
        <is>
          <t>keep_flagged</t>
        </is>
      </c>
      <c r="L10" s="24" t="inlineStr">
        <is>
          <t>Four microbial species each were found associated with either cobblestoning [Roseburia intestinalis, Bacteroides vulgatus, Clostridium asparagiforme and Bacteriodes dorei] or oral ulcers [Turicimonas muris, Anaerostipes hadrus, Clostridium bolteae and Roseburia inulinivorans].</t>
        </is>
      </c>
      <c r="M10" s="20" t="inlineStr"/>
      <c r="N10" s="21" t="inlineStr"/>
      <c r="O10" s="21" t="inlineStr"/>
    </row>
    <row r="11" ht="20" customHeight="1">
      <c r="A11" s="16" t="inlineStr">
        <is>
          <t>Turicimonas muris</t>
        </is>
      </c>
      <c r="B11" s="16" t="inlineStr">
        <is>
          <t>bacteria</t>
        </is>
      </c>
      <c r="C11" s="16" t="inlineStr">
        <is>
          <t>species</t>
        </is>
      </c>
      <c r="D11" s="16" t="inlineStr">
        <is>
          <t>Crohn's disease</t>
        </is>
      </c>
      <c r="E11" s="26" t="inlineStr">
        <is>
          <t>unclear</t>
        </is>
      </c>
      <c r="F11" s="16" t="inlineStr">
        <is>
          <t>disease_vs_control</t>
        </is>
      </c>
      <c r="G11" s="16" t="inlineStr">
        <is>
          <t>oral</t>
        </is>
      </c>
      <c r="H11" s="16" t="inlineStr"/>
      <c r="I11" s="16" t="inlineStr">
        <is>
          <t>medium</t>
        </is>
      </c>
      <c r="J11" s="18" t="inlineStr">
        <is>
          <t>verified</t>
        </is>
      </c>
      <c r="K11" s="18" t="inlineStr">
        <is>
          <t>keep_flagged</t>
        </is>
      </c>
      <c r="L11" s="19" t="inlineStr">
        <is>
          <t>Four microbial species each were found associated with either cobblestoning [Roseburia intestinalis, Bacteroides vulgatus, Clostridium asparagiforme and Bacteriodes dorei] or oral ulcers [Turicimonas muris, Anaerostipes hadrus, Clostridium bolteae and Roseburia inulinivorans].</t>
        </is>
      </c>
      <c r="M11" s="20" t="inlineStr"/>
      <c r="N11" s="21" t="inlineStr"/>
      <c r="O11" s="21" t="inlineStr"/>
    </row>
    <row r="12" ht="20" customHeight="1">
      <c r="A12" s="22" t="inlineStr">
        <is>
          <t>Anaerostipes hadrus</t>
        </is>
      </c>
      <c r="B12" s="22" t="inlineStr">
        <is>
          <t>bacteria</t>
        </is>
      </c>
      <c r="C12" s="22" t="inlineStr">
        <is>
          <t>species</t>
        </is>
      </c>
      <c r="D12" s="22" t="inlineStr">
        <is>
          <t>Crohn's disease</t>
        </is>
      </c>
      <c r="E12" s="17" t="inlineStr">
        <is>
          <t>increased</t>
        </is>
      </c>
      <c r="F12" s="22" t="inlineStr">
        <is>
          <t>disease_vs_control</t>
        </is>
      </c>
      <c r="G12" s="22" t="inlineStr">
        <is>
          <t>oral</t>
        </is>
      </c>
      <c r="H12" s="22" t="inlineStr"/>
      <c r="I12" s="22" t="inlineStr">
        <is>
          <t>high</t>
        </is>
      </c>
      <c r="J12" s="23" t="inlineStr">
        <is>
          <t>verified</t>
        </is>
      </c>
      <c r="K12" s="23" t="inlineStr">
        <is>
          <t>keep</t>
        </is>
      </c>
      <c r="L12" s="24" t="inlineStr">
        <is>
          <t>This was further substantiated by the finding of an increased abundance of A. hadrus in subjects with oral ulcers, a major butyrate producer usually found in the gut</t>
        </is>
      </c>
      <c r="M12" s="20" t="inlineStr"/>
      <c r="N12" s="21" t="inlineStr"/>
      <c r="O12" s="21" t="inlineStr"/>
    </row>
    <row r="13" ht="20" customHeight="1">
      <c r="A13" s="16" t="inlineStr">
        <is>
          <t>Clostridium bolteae</t>
        </is>
      </c>
      <c r="B13" s="16" t="inlineStr">
        <is>
          <t>bacteria</t>
        </is>
      </c>
      <c r="C13" s="16" t="inlineStr">
        <is>
          <t>species</t>
        </is>
      </c>
      <c r="D13" s="16" t="inlineStr">
        <is>
          <t>Crohn's disease</t>
        </is>
      </c>
      <c r="E13" s="26" t="inlineStr">
        <is>
          <t>unclear</t>
        </is>
      </c>
      <c r="F13" s="16" t="inlineStr">
        <is>
          <t>disease_vs_control</t>
        </is>
      </c>
      <c r="G13" s="16" t="inlineStr">
        <is>
          <t>oral</t>
        </is>
      </c>
      <c r="H13" s="16" t="inlineStr"/>
      <c r="I13" s="16" t="inlineStr">
        <is>
          <t>medium</t>
        </is>
      </c>
      <c r="J13" s="18" t="inlineStr">
        <is>
          <t>verified</t>
        </is>
      </c>
      <c r="K13" s="18" t="inlineStr">
        <is>
          <t>keep_flagged</t>
        </is>
      </c>
      <c r="L13" s="19" t="inlineStr">
        <is>
          <t>Four microbial species each were found associated with either cobblestoning [Roseburia intestinalis, Bacteroides vulgatus, Clostridium asparagiforme and Bacteriodes dorei] or oral ulcers [Turicimonas muris, Anaerostipes hadrus, Clostridium bolteae and Roseburia inulinivorans].</t>
        </is>
      </c>
      <c r="M13" s="20" t="inlineStr"/>
      <c r="N13" s="21" t="inlineStr"/>
      <c r="O13" s="21" t="inlineStr"/>
    </row>
    <row r="14" ht="20" customHeight="1">
      <c r="A14" s="22" t="inlineStr">
        <is>
          <t>Roseburia inulinivorans</t>
        </is>
      </c>
      <c r="B14" s="22" t="inlineStr">
        <is>
          <t>bacteria</t>
        </is>
      </c>
      <c r="C14" s="22" t="inlineStr">
        <is>
          <t>species</t>
        </is>
      </c>
      <c r="D14" s="22" t="inlineStr">
        <is>
          <t>Crohn's disease</t>
        </is>
      </c>
      <c r="E14" s="26" t="inlineStr">
        <is>
          <t>unclear</t>
        </is>
      </c>
      <c r="F14" s="22" t="inlineStr">
        <is>
          <t>disease_vs_control</t>
        </is>
      </c>
      <c r="G14" s="22" t="inlineStr">
        <is>
          <t>oral</t>
        </is>
      </c>
      <c r="H14" s="22" t="inlineStr"/>
      <c r="I14" s="22" t="inlineStr">
        <is>
          <t>medium</t>
        </is>
      </c>
      <c r="J14" s="23" t="inlineStr">
        <is>
          <t>verified</t>
        </is>
      </c>
      <c r="K14" s="23" t="inlineStr">
        <is>
          <t>keep_flagged</t>
        </is>
      </c>
      <c r="L14" s="24" t="inlineStr">
        <is>
          <t>Four microbial species each were found associated with either cobblestoning [Roseburia intestinalis, Bacteroides vulgatus, Clostridium asparagiforme and Bacteriodes dorei] or oral ulcers [Turicimonas muris, Anaerostipes hadrus, Clostridium bolteae and Roseburia inulinivorans].</t>
        </is>
      </c>
      <c r="M14" s="20" t="inlineStr"/>
      <c r="N14" s="21" t="inlineStr"/>
      <c r="O14" s="21" t="inlineStr"/>
    </row>
    <row r="15" ht="20" customHeight="1">
      <c r="A15" s="16" t="inlineStr">
        <is>
          <t>Ruminococcus gnavus</t>
        </is>
      </c>
      <c r="B15" s="16" t="inlineStr">
        <is>
          <t>bacteria</t>
        </is>
      </c>
      <c r="C15" s="16" t="inlineStr">
        <is>
          <t>species</t>
        </is>
      </c>
      <c r="D15" s="16" t="inlineStr">
        <is>
          <t>Crohn's disease</t>
        </is>
      </c>
      <c r="E15" s="17" t="inlineStr">
        <is>
          <t>increased</t>
        </is>
      </c>
      <c r="F15" s="16" t="inlineStr">
        <is>
          <t>disease_vs_control</t>
        </is>
      </c>
      <c r="G15" s="16" t="inlineStr">
        <is>
          <t>oral</t>
        </is>
      </c>
      <c r="H15" s="16" t="inlineStr"/>
      <c r="I15" s="16" t="inlineStr">
        <is>
          <t>low</t>
        </is>
      </c>
      <c r="J15" s="18" t="inlineStr">
        <is>
          <t>verified</t>
        </is>
      </c>
      <c r="K15" s="18" t="inlineStr">
        <is>
          <t>keep_flagged</t>
        </is>
      </c>
      <c r="L15" s="19" t="inlineStr">
        <is>
          <t>Differentially abundant oral microbes in CD were predominantly the same stool species associated with IBD [i. e. increased abundances of Ruminococcus gnavus, decreased abundance of Faecalibacterium prausnitzii]</t>
        </is>
      </c>
      <c r="M15" s="20" t="inlineStr"/>
      <c r="N15" s="21" t="inlineStr"/>
      <c r="O15" s="21" t="inlineStr"/>
    </row>
    <row r="16" ht="20" customHeight="1">
      <c r="A16" s="22" t="inlineStr">
        <is>
          <t>Faecalibacterium prausnitzii</t>
        </is>
      </c>
      <c r="B16" s="22" t="inlineStr">
        <is>
          <t>bacteria</t>
        </is>
      </c>
      <c r="C16" s="22" t="inlineStr">
        <is>
          <t>species</t>
        </is>
      </c>
      <c r="D16" s="22" t="inlineStr">
        <is>
          <t>Crohn's disease</t>
        </is>
      </c>
      <c r="E16" s="27" t="inlineStr">
        <is>
          <t>decreased</t>
        </is>
      </c>
      <c r="F16" s="22" t="inlineStr">
        <is>
          <t>disease_vs_control</t>
        </is>
      </c>
      <c r="G16" s="22" t="inlineStr">
        <is>
          <t>oral</t>
        </is>
      </c>
      <c r="H16" s="22" t="inlineStr"/>
      <c r="I16" s="22" t="inlineStr">
        <is>
          <t>low</t>
        </is>
      </c>
      <c r="J16" s="23" t="inlineStr">
        <is>
          <t>verified</t>
        </is>
      </c>
      <c r="K16" s="23" t="inlineStr">
        <is>
          <t>keep_flagged</t>
        </is>
      </c>
      <c r="L16" s="24" t="inlineStr">
        <is>
          <t>Differentially abundant oral microbes in CD were predominantly the same stool species associated with IBD [i. e. increased abundances of Ruminococcus gnavus, decreased abundance of Faecalibacterium prausnitzii]</t>
        </is>
      </c>
      <c r="M16" s="20" t="inlineStr"/>
      <c r="N16" s="21" t="inlineStr"/>
      <c r="O16"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6" showDropDown="0" showInputMessage="0" showErrorMessage="0" allowBlank="1" type="list">
      <formula1>"approved,rejected,modified"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1100 — Lung function and microbiota diversity in cystic fibrosis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Pseudomonas aeruginosa</t>
        </is>
      </c>
      <c r="B3" s="16" t="inlineStr">
        <is>
          <t>bacteria</t>
        </is>
      </c>
      <c r="C3" s="16" t="inlineStr">
        <is>
          <t>species</t>
        </is>
      </c>
      <c r="D3" s="16" t="inlineStr">
        <is>
          <t>cystic fibrosis</t>
        </is>
      </c>
      <c r="E3" s="17" t="inlineStr">
        <is>
          <t>increased</t>
        </is>
      </c>
      <c r="F3" s="16" t="inlineStr">
        <is>
          <t>disease_vs_control</t>
        </is>
      </c>
      <c r="G3" s="16" t="inlineStr">
        <is>
          <t>lung</t>
        </is>
      </c>
      <c r="H3" s="16" t="inlineStr"/>
      <c r="I3" s="16" t="inlineStr">
        <is>
          <t>high</t>
        </is>
      </c>
      <c r="J3" s="18" t="inlineStr">
        <is>
          <t>verified</t>
        </is>
      </c>
      <c r="K3" s="18" t="inlineStr">
        <is>
          <t>keep</t>
        </is>
      </c>
      <c r="L3" s="19" t="inlineStr">
        <is>
          <t>A clear pattern emerged of increasing dominance by recognised pathogens, which was mainly driven by the OTU identified as P. aeruginosa, as lung function decreased (Fig. 4a).</t>
        </is>
      </c>
      <c r="M3" s="20" t="inlineStr"/>
      <c r="N3" s="21" t="inlineStr"/>
      <c r="O3" s="21" t="inlineStr"/>
    </row>
    <row r="4" ht="20" customHeight="1">
      <c r="A4" s="22" t="inlineStr">
        <is>
          <t>Staphylococcus aureus</t>
        </is>
      </c>
      <c r="B4" s="22" t="inlineStr">
        <is>
          <t>bacteria</t>
        </is>
      </c>
      <c r="C4" s="22" t="inlineStr">
        <is>
          <t>species</t>
        </is>
      </c>
      <c r="D4" s="22" t="inlineStr">
        <is>
          <t>cystic fibrosis</t>
        </is>
      </c>
      <c r="E4" s="17" t="inlineStr">
        <is>
          <t>increased</t>
        </is>
      </c>
      <c r="F4" s="22" t="inlineStr">
        <is>
          <t>disease_vs_control</t>
        </is>
      </c>
      <c r="G4" s="22" t="inlineStr">
        <is>
          <t>lung</t>
        </is>
      </c>
      <c r="H4" s="22" t="inlineStr"/>
      <c r="I4" s="22" t="inlineStr">
        <is>
          <t>medium</t>
        </is>
      </c>
      <c r="J4" s="23" t="inlineStr">
        <is>
          <t>verified</t>
        </is>
      </c>
      <c r="K4" s="23" t="inlineStr">
        <is>
          <t>keep</t>
        </is>
      </c>
      <c r="L4" s="24" t="inlineStr">
        <is>
          <t>From the top six OTUs that contributed most to the dissimilarity, these included five identified as recognised CF respiratory pathogens, including P. aeruginosa, S. aureus, B. cepacia complex, S. maltophilia (all core taxa in all categories) and H. influenzae (satellite taxon in all categories).</t>
        </is>
      </c>
      <c r="M4" s="20" t="inlineStr"/>
      <c r="N4" s="21" t="inlineStr"/>
      <c r="O4" s="21" t="inlineStr"/>
    </row>
    <row r="5" ht="20" customHeight="1">
      <c r="A5" s="16" t="inlineStr">
        <is>
          <t>Burkholderia cepacia complex</t>
        </is>
      </c>
      <c r="B5" s="16" t="inlineStr">
        <is>
          <t>bacteria</t>
        </is>
      </c>
      <c r="C5" s="16" t="inlineStr">
        <is>
          <t>species</t>
        </is>
      </c>
      <c r="D5" s="16" t="inlineStr">
        <is>
          <t>cystic fibrosis</t>
        </is>
      </c>
      <c r="E5" s="17" t="inlineStr">
        <is>
          <t>increased</t>
        </is>
      </c>
      <c r="F5" s="16" t="inlineStr">
        <is>
          <t>disease_vs_control</t>
        </is>
      </c>
      <c r="G5" s="16" t="inlineStr">
        <is>
          <t>lung</t>
        </is>
      </c>
      <c r="H5" s="16" t="inlineStr"/>
      <c r="I5" s="16" t="inlineStr">
        <is>
          <t>medium</t>
        </is>
      </c>
      <c r="J5" s="18" t="inlineStr">
        <is>
          <t>verified</t>
        </is>
      </c>
      <c r="K5" s="18" t="inlineStr">
        <is>
          <t>keep</t>
        </is>
      </c>
      <c r="L5" s="19" t="inlineStr">
        <is>
          <t>From the top six OTUs that contributed most to the dissimilarity, these included five identified as recognised CF respiratory pathogens, including P. aeruginosa, S. aureus, B. cepacia complex, S. maltophilia (all core taxa in all categories) and H. influenzae.</t>
        </is>
      </c>
      <c r="M5" s="20" t="inlineStr"/>
      <c r="N5" s="21" t="inlineStr"/>
      <c r="O5" s="21" t="inlineStr"/>
    </row>
    <row r="6" ht="20" customHeight="1">
      <c r="A6" s="22" t="inlineStr">
        <is>
          <t>Stenotrophomonas maltophilia</t>
        </is>
      </c>
      <c r="B6" s="22" t="inlineStr">
        <is>
          <t>bacteria</t>
        </is>
      </c>
      <c r="C6" s="22" t="inlineStr">
        <is>
          <t>species</t>
        </is>
      </c>
      <c r="D6" s="22" t="inlineStr">
        <is>
          <t>cystic fibrosis</t>
        </is>
      </c>
      <c r="E6" s="17" t="inlineStr">
        <is>
          <t>increased</t>
        </is>
      </c>
      <c r="F6" s="22" t="inlineStr">
        <is>
          <t>disease_vs_control</t>
        </is>
      </c>
      <c r="G6" s="22" t="inlineStr">
        <is>
          <t>lung</t>
        </is>
      </c>
      <c r="H6" s="22" t="inlineStr"/>
      <c r="I6" s="22" t="inlineStr">
        <is>
          <t>medium</t>
        </is>
      </c>
      <c r="J6" s="23" t="inlineStr">
        <is>
          <t>verified</t>
        </is>
      </c>
      <c r="K6" s="23" t="inlineStr">
        <is>
          <t>keep</t>
        </is>
      </c>
      <c r="L6" s="24" t="inlineStr">
        <is>
          <t>From the top six OTUs that contributed most to the dissimilarity, these included five identified as recognised CF respiratory pathogens, including P. aeruginosa, S. aureus, B. cepacia complex, S. maltophilia (all core taxa in all categories) and H. influenzae.</t>
        </is>
      </c>
      <c r="M6" s="20" t="inlineStr"/>
      <c r="N6" s="21" t="inlineStr"/>
      <c r="O6" s="21" t="inlineStr"/>
    </row>
    <row r="7" ht="20" customHeight="1">
      <c r="A7" s="16" t="inlineStr">
        <is>
          <t>Haemophilus influenzae</t>
        </is>
      </c>
      <c r="B7" s="16" t="inlineStr">
        <is>
          <t>bacteria</t>
        </is>
      </c>
      <c r="C7" s="16" t="inlineStr">
        <is>
          <t>species</t>
        </is>
      </c>
      <c r="D7" s="16" t="inlineStr">
        <is>
          <t>cystic fibrosis</t>
        </is>
      </c>
      <c r="E7" s="17" t="inlineStr">
        <is>
          <t>increased</t>
        </is>
      </c>
      <c r="F7" s="16" t="inlineStr">
        <is>
          <t>disease_vs_control</t>
        </is>
      </c>
      <c r="G7" s="16" t="inlineStr">
        <is>
          <t>lung</t>
        </is>
      </c>
      <c r="H7" s="16" t="inlineStr"/>
      <c r="I7" s="16" t="inlineStr">
        <is>
          <t>medium</t>
        </is>
      </c>
      <c r="J7" s="18" t="inlineStr">
        <is>
          <t>verified</t>
        </is>
      </c>
      <c r="K7" s="18" t="inlineStr">
        <is>
          <t>keep</t>
        </is>
      </c>
      <c r="L7" s="19" t="inlineStr">
        <is>
          <t>From the top six OTUs that contributed most to the dissimilarity, these included five identified as recognised CF respiratory pathogens, including P. aeruginosa, S. aureus, B. cepacia complex, S. maltophilia (all core taxa in all categories) and H. influenzae (satellite taxon in all categories).</t>
        </is>
      </c>
      <c r="M7" s="20" t="inlineStr"/>
      <c r="N7" s="21" t="inlineStr"/>
      <c r="O7" s="21" t="inlineStr"/>
    </row>
    <row r="8" ht="20" customHeight="1">
      <c r="A8" s="22" t="inlineStr">
        <is>
          <t>Achromobacter xylosoxidans</t>
        </is>
      </c>
      <c r="B8" s="22" t="inlineStr">
        <is>
          <t>bacteria</t>
        </is>
      </c>
      <c r="C8" s="22" t="inlineStr">
        <is>
          <t>species</t>
        </is>
      </c>
      <c r="D8" s="22" t="inlineStr">
        <is>
          <t>cystic fibrosis</t>
        </is>
      </c>
      <c r="E8" s="26" t="inlineStr">
        <is>
          <t>unclear</t>
        </is>
      </c>
      <c r="F8" s="22" t="inlineStr">
        <is>
          <t>disease_vs_control</t>
        </is>
      </c>
      <c r="G8" s="22" t="inlineStr">
        <is>
          <t>lung</t>
        </is>
      </c>
      <c r="H8" s="22" t="inlineStr"/>
      <c r="I8" s="22" t="inlineStr">
        <is>
          <t>low</t>
        </is>
      </c>
      <c r="J8" s="23" t="inlineStr">
        <is>
          <t>verified</t>
        </is>
      </c>
      <c r="K8" s="23" t="inlineStr">
        <is>
          <t>keep_flagged</t>
        </is>
      </c>
      <c r="L8" s="24" t="inlineStr">
        <is>
          <t>SIMPER analysis revealed that all recognised pathogen OTUs, with the exception of A. xylosoxidans, contributed substantially to the dissimilarity between lung disease categories (Table 2). In addition, the lung microbiota of individual patients became increasingly dominated by recognised pathogen OTUs, and especially by the P. aeruginosa OTU, in concert with decreasing lung function (Fig. 4). Again, A. xylosoxidans stood as an exception to this rule. Our findings, therefore, bring into question the perceived importance of this species in CF.</t>
        </is>
      </c>
      <c r="M8" s="20" t="inlineStr"/>
      <c r="N8" s="21" t="inlineStr"/>
      <c r="O8" s="21" t="inlineStr"/>
    </row>
    <row r="9" ht="20" customHeight="1">
      <c r="A9" s="16" t="inlineStr">
        <is>
          <t>Prevotella melaninogenica</t>
        </is>
      </c>
      <c r="B9" s="16" t="inlineStr">
        <is>
          <t>bacteria</t>
        </is>
      </c>
      <c r="C9" s="16" t="inlineStr">
        <is>
          <t>species</t>
        </is>
      </c>
      <c r="D9" s="16" t="inlineStr">
        <is>
          <t>cystic fibrosis</t>
        </is>
      </c>
      <c r="E9" s="27" t="inlineStr">
        <is>
          <t>decreased</t>
        </is>
      </c>
      <c r="F9" s="16" t="inlineStr">
        <is>
          <t>disease_vs_control</t>
        </is>
      </c>
      <c r="G9" s="16" t="inlineStr">
        <is>
          <t>lung</t>
        </is>
      </c>
      <c r="H9" s="16" t="inlineStr"/>
      <c r="I9" s="16" t="inlineStr">
        <is>
          <t>high</t>
        </is>
      </c>
      <c r="J9" s="18" t="inlineStr">
        <is>
          <t>verified</t>
        </is>
      </c>
      <c r="K9" s="18" t="inlineStr">
        <is>
          <t>keep</t>
        </is>
      </c>
      <c r="L9" s="19" t="inlineStr">
        <is>
          <t>Conversely, better lung function associated with increasing dominance by other bacterial taxa, especially the putative P. melaninogenica OTU (Fig. 4b). Additionally, the second top taxon was an OTU identified as belonging to the Prevotella genus, putatively labelled as P. melaninogenica.</t>
        </is>
      </c>
      <c r="M9" s="20" t="inlineStr"/>
      <c r="N9" s="21" t="inlineStr"/>
      <c r="O9" s="21" t="inlineStr"/>
    </row>
    <row r="10" ht="20" customHeight="1">
      <c r="A10" s="22" t="inlineStr">
        <is>
          <t>Prevotella</t>
        </is>
      </c>
      <c r="B10" s="22" t="inlineStr">
        <is>
          <t>bacteria</t>
        </is>
      </c>
      <c r="C10" s="22" t="inlineStr">
        <is>
          <t>genus</t>
        </is>
      </c>
      <c r="D10" s="22" t="inlineStr">
        <is>
          <t>cystic fibrosis</t>
        </is>
      </c>
      <c r="E10" s="27" t="inlineStr">
        <is>
          <t>decreased</t>
        </is>
      </c>
      <c r="F10" s="22" t="inlineStr">
        <is>
          <t>disease_vs_control</t>
        </is>
      </c>
      <c r="G10" s="22" t="inlineStr">
        <is>
          <t>lung</t>
        </is>
      </c>
      <c r="H10" s="22" t="inlineStr"/>
      <c r="I10" s="22" t="inlineStr">
        <is>
          <t>high</t>
        </is>
      </c>
      <c r="J10" s="23" t="inlineStr">
        <is>
          <t>verified</t>
        </is>
      </c>
      <c r="K10" s="23" t="inlineStr">
        <is>
          <t>keep</t>
        </is>
      </c>
      <c r="L10" s="24" t="inlineStr">
        <is>
          <t>Conversely, other bacteria, but especially OTUs identified as belonging to genera comprised of obligate anaerobes, were observed to increasingly dominate microbiota of patients with better lung function (Fig. 4). Taxa belonging to the genera of Prevotella, Porphyromonas, and Veillonella, as observed here, have been previously associated with better clinical outcomes when they dominate lung microbiota.</t>
        </is>
      </c>
      <c r="M10" s="20" t="inlineStr"/>
      <c r="N10" s="21" t="inlineStr"/>
      <c r="O10" s="21" t="inlineStr"/>
    </row>
    <row r="11" ht="20" customHeight="1">
      <c r="A11" s="16" t="inlineStr">
        <is>
          <t>Porphyromonas</t>
        </is>
      </c>
      <c r="B11" s="16" t="inlineStr">
        <is>
          <t>bacteria</t>
        </is>
      </c>
      <c r="C11" s="16" t="inlineStr">
        <is>
          <t>genus</t>
        </is>
      </c>
      <c r="D11" s="16" t="inlineStr">
        <is>
          <t>cystic fibrosis</t>
        </is>
      </c>
      <c r="E11" s="27" t="inlineStr">
        <is>
          <t>decreased</t>
        </is>
      </c>
      <c r="F11" s="16" t="inlineStr">
        <is>
          <t>disease_vs_control</t>
        </is>
      </c>
      <c r="G11" s="16" t="inlineStr">
        <is>
          <t>lung</t>
        </is>
      </c>
      <c r="H11" s="16" t="inlineStr"/>
      <c r="I11" s="16" t="inlineStr">
        <is>
          <t>medium</t>
        </is>
      </c>
      <c r="J11" s="18" t="inlineStr">
        <is>
          <t>verified</t>
        </is>
      </c>
      <c r="K11" s="18" t="inlineStr">
        <is>
          <t>keep</t>
        </is>
      </c>
      <c r="L11" s="19" t="inlineStr">
        <is>
          <t>Taxa belonging to the genera of Prevotella, Porphyromonas, and Veillonella, as observed here, have been previously associated with better clinical outcomes when they dominate lung microbiota.</t>
        </is>
      </c>
      <c r="M11" s="20" t="inlineStr"/>
      <c r="N11" s="21" t="inlineStr"/>
      <c r="O11" s="21" t="inlineStr"/>
    </row>
    <row r="12" ht="20" customHeight="1">
      <c r="A12" s="22" t="inlineStr">
        <is>
          <t>Veillonella</t>
        </is>
      </c>
      <c r="B12" s="22" t="inlineStr">
        <is>
          <t>bacteria</t>
        </is>
      </c>
      <c r="C12" s="22" t="inlineStr">
        <is>
          <t>genus</t>
        </is>
      </c>
      <c r="D12" s="22" t="inlineStr">
        <is>
          <t>cystic fibrosis</t>
        </is>
      </c>
      <c r="E12" s="27" t="inlineStr">
        <is>
          <t>decreased</t>
        </is>
      </c>
      <c r="F12" s="22" t="inlineStr">
        <is>
          <t>disease_vs_control</t>
        </is>
      </c>
      <c r="G12" s="22" t="inlineStr">
        <is>
          <t>lung</t>
        </is>
      </c>
      <c r="H12" s="22" t="inlineStr"/>
      <c r="I12" s="22" t="inlineStr">
        <is>
          <t>medium</t>
        </is>
      </c>
      <c r="J12" s="23" t="inlineStr">
        <is>
          <t>verified</t>
        </is>
      </c>
      <c r="K12" s="23" t="inlineStr">
        <is>
          <t>keep</t>
        </is>
      </c>
      <c r="L12" s="24" t="inlineStr">
        <is>
          <t>Taxa belonging to the genera of Prevotella, Porphyromonas, and Veillonella, as observed here, have been previously associated with better clinical outcomes when they dominate lung microbiota.</t>
        </is>
      </c>
      <c r="M12" s="20" t="inlineStr"/>
      <c r="N12" s="21" t="inlineStr"/>
      <c r="O12" s="21" t="inlineStr"/>
    </row>
    <row r="13" ht="20" customHeight="1">
      <c r="A13" s="16" t="inlineStr">
        <is>
          <t>Rothia</t>
        </is>
      </c>
      <c r="B13" s="16" t="inlineStr">
        <is>
          <t>bacteria</t>
        </is>
      </c>
      <c r="C13" s="16" t="inlineStr">
        <is>
          <t>genus</t>
        </is>
      </c>
      <c r="D13" s="16" t="inlineStr">
        <is>
          <t>cystic fibrosis</t>
        </is>
      </c>
      <c r="E13" s="27" t="inlineStr">
        <is>
          <t>decreased</t>
        </is>
      </c>
      <c r="F13" s="16" t="inlineStr">
        <is>
          <t>disease_vs_control</t>
        </is>
      </c>
      <c r="G13" s="16" t="inlineStr">
        <is>
          <t>lung</t>
        </is>
      </c>
      <c r="H13" s="16" t="inlineStr"/>
      <c r="I13" s="16" t="inlineStr">
        <is>
          <t>low</t>
        </is>
      </c>
      <c r="J13" s="18" t="inlineStr">
        <is>
          <t>verified</t>
        </is>
      </c>
      <c r="K13" s="18" t="inlineStr">
        <is>
          <t>keep_flagged</t>
        </is>
      </c>
      <c r="L13" s="19" t="inlineStr">
        <is>
          <t>The remaining taxa within the SIMPER table predominantly comprised OTUs from the Streptococcus genus or OTUs from genera consisted of strict anaerobic species, including Prevotella, Porphyromonas, Rothia and Veillonella (Table 2).</t>
        </is>
      </c>
      <c r="M13" s="20" t="inlineStr"/>
      <c r="N13" s="21" t="inlineStr"/>
      <c r="O13" s="21" t="inlineStr"/>
    </row>
    <row r="14" ht="20" customHeight="1">
      <c r="A14" s="22" t="inlineStr">
        <is>
          <t>Streptococcus</t>
        </is>
      </c>
      <c r="B14" s="22" t="inlineStr">
        <is>
          <t>bacteria</t>
        </is>
      </c>
      <c r="C14" s="22" t="inlineStr">
        <is>
          <t>genus</t>
        </is>
      </c>
      <c r="D14" s="22" t="inlineStr">
        <is>
          <t>cystic fibrosis</t>
        </is>
      </c>
      <c r="E14" s="26" t="inlineStr">
        <is>
          <t>unclear</t>
        </is>
      </c>
      <c r="F14" s="22" t="inlineStr">
        <is>
          <t>disease_vs_control</t>
        </is>
      </c>
      <c r="G14" s="22" t="inlineStr">
        <is>
          <t>lung</t>
        </is>
      </c>
      <c r="H14" s="22" t="inlineStr"/>
      <c r="I14" s="22" t="inlineStr">
        <is>
          <t>low</t>
        </is>
      </c>
      <c r="J14" s="23" t="inlineStr">
        <is>
          <t>verified</t>
        </is>
      </c>
      <c r="K14" s="23" t="inlineStr">
        <is>
          <t>keep_flagged</t>
        </is>
      </c>
      <c r="L14" s="24" t="inlineStr">
        <is>
          <t>The remaining taxa within the SIMPER table predominantly comprised OTUs from the Streptococcus genus or OTUs from genera consisted of strict anaerobic species, including Prevotella, Porphyromonas, Rothia and Veillonella (Table 2).</t>
        </is>
      </c>
      <c r="M14" s="20" t="inlineStr"/>
      <c r="N14" s="21" t="inlineStr"/>
      <c r="O14"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4" showDropDown="0" showInputMessage="0" showErrorMessage="0" allowBlank="1" type="list">
      <formula1>"approved,rejected,modified"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2"/>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1117 — The closed eye harbours a unique microbiome in dry eye disease</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Pseudomonas</t>
        </is>
      </c>
      <c r="B3" s="16" t="inlineStr">
        <is>
          <t>bacteria</t>
        </is>
      </c>
      <c r="C3" s="16" t="inlineStr">
        <is>
          <t>genus</t>
        </is>
      </c>
      <c r="D3" s="16" t="inlineStr">
        <is>
          <t>dry eye disease</t>
        </is>
      </c>
      <c r="E3" s="27" t="inlineStr">
        <is>
          <t>decreased</t>
        </is>
      </c>
      <c r="F3" s="16" t="inlineStr">
        <is>
          <t>disease_vs_control</t>
        </is>
      </c>
      <c r="G3" s="16" t="inlineStr">
        <is>
          <t>other</t>
        </is>
      </c>
      <c r="H3" s="16" t="inlineStr">
        <is>
          <t>&lt; 2e-22</t>
        </is>
      </c>
      <c r="I3" s="16" t="inlineStr">
        <is>
          <t>high</t>
        </is>
      </c>
      <c r="J3" s="18" t="inlineStr">
        <is>
          <t>verified</t>
        </is>
      </c>
      <c r="K3" s="18" t="inlineStr">
        <is>
          <t>keep</t>
        </is>
      </c>
      <c r="L3" s="19" t="inlineStr">
        <is>
          <t>A more rigorous normalization performed on our dataset confirmed the reduction in Pseudomonas spp. but not in Staphylococcus spp.</t>
        </is>
      </c>
      <c r="M3" s="20" t="inlineStr"/>
      <c r="N3" s="21" t="inlineStr"/>
      <c r="O3" s="21" t="inlineStr"/>
    </row>
    <row r="4" ht="20" customHeight="1">
      <c r="A4" s="22" t="inlineStr">
        <is>
          <t>Methylobacteriaceae</t>
        </is>
      </c>
      <c r="B4" s="22" t="inlineStr">
        <is>
          <t>bacteria</t>
        </is>
      </c>
      <c r="C4" s="22" t="inlineStr">
        <is>
          <t>family</t>
        </is>
      </c>
      <c r="D4" s="22" t="inlineStr">
        <is>
          <t>dry eye disease</t>
        </is>
      </c>
      <c r="E4" s="17" t="inlineStr">
        <is>
          <t>increased</t>
        </is>
      </c>
      <c r="F4" s="22" t="inlineStr">
        <is>
          <t>disease_vs_control</t>
        </is>
      </c>
      <c r="G4" s="22" t="inlineStr">
        <is>
          <t>other</t>
        </is>
      </c>
      <c r="H4" s="22" t="inlineStr">
        <is>
          <t>&lt; 2e-22</t>
        </is>
      </c>
      <c r="I4" s="22" t="inlineStr">
        <is>
          <t>high</t>
        </is>
      </c>
      <c r="J4" s="23" t="inlineStr">
        <is>
          <t>verified</t>
        </is>
      </c>
      <c r="K4" s="23" t="inlineStr">
        <is>
          <t>keep</t>
        </is>
      </c>
      <c r="L4" s="24" t="inlineStr">
        <is>
          <t>univariate analysis of the relative abundance of bacterial genera showed individuals with dry eye disease have differences in the relative abundance of 113 genera, with the most significant differences in OPB56, Methylobacteriaceae, Bacteroidetes, Pseudomonas, and Meiothermus (all with FDR-adjusted P &lt; 2 × 10−22)</t>
        </is>
      </c>
      <c r="M4" s="20" t="inlineStr"/>
      <c r="N4" s="21" t="inlineStr"/>
      <c r="O4" s="21" t="inlineStr"/>
    </row>
    <row r="5" ht="20" customHeight="1">
      <c r="A5" s="16" t="inlineStr">
        <is>
          <t>Meiothermus</t>
        </is>
      </c>
      <c r="B5" s="16" t="inlineStr">
        <is>
          <t>bacteria</t>
        </is>
      </c>
      <c r="C5" s="16" t="inlineStr">
        <is>
          <t>genus</t>
        </is>
      </c>
      <c r="D5" s="16" t="inlineStr">
        <is>
          <t>dry eye disease</t>
        </is>
      </c>
      <c r="E5" s="26" t="inlineStr">
        <is>
          <t>unclear</t>
        </is>
      </c>
      <c r="F5" s="16" t="inlineStr">
        <is>
          <t>disease_vs_control</t>
        </is>
      </c>
      <c r="G5" s="16" t="inlineStr">
        <is>
          <t>other</t>
        </is>
      </c>
      <c r="H5" s="16" t="inlineStr">
        <is>
          <t>&lt; 2e-22</t>
        </is>
      </c>
      <c r="I5" s="16" t="inlineStr">
        <is>
          <t>high</t>
        </is>
      </c>
      <c r="J5" s="18" t="inlineStr">
        <is>
          <t>verified</t>
        </is>
      </c>
      <c r="K5" s="18" t="inlineStr">
        <is>
          <t>keep</t>
        </is>
      </c>
      <c r="L5" s="19" t="inlineStr">
        <is>
          <t>univariate analysis of the relative abundance of bacterial genera showed individuals with dry eye disease have differences in the relative abundance of 113 genera, with the most significant differences in OPB56, Methylobacteriaceae, Bacteroidetes, Pseudomonas, and Meiothermus (all with FDR-adjusted P &lt; 2 × 10−22)</t>
        </is>
      </c>
      <c r="M5" s="20" t="inlineStr"/>
      <c r="N5" s="21" t="inlineStr"/>
      <c r="O5" s="21" t="inlineStr"/>
    </row>
    <row r="6" ht="20" customHeight="1">
      <c r="A6" s="22" t="inlineStr">
        <is>
          <t>OPB56</t>
        </is>
      </c>
      <c r="B6" s="22" t="inlineStr">
        <is>
          <t>bacteria</t>
        </is>
      </c>
      <c r="C6" s="22" t="inlineStr">
        <is>
          <t>order</t>
        </is>
      </c>
      <c r="D6" s="22" t="inlineStr">
        <is>
          <t>dry eye disease</t>
        </is>
      </c>
      <c r="E6" s="27" t="inlineStr">
        <is>
          <t>decreased</t>
        </is>
      </c>
      <c r="F6" s="22" t="inlineStr">
        <is>
          <t>disease_vs_control</t>
        </is>
      </c>
      <c r="G6" s="22" t="inlineStr">
        <is>
          <t>other</t>
        </is>
      </c>
      <c r="H6" s="22" t="inlineStr">
        <is>
          <t>&lt; 2e-22</t>
        </is>
      </c>
      <c r="I6" s="22" t="inlineStr">
        <is>
          <t>high</t>
        </is>
      </c>
      <c r="J6" s="23" t="inlineStr">
        <is>
          <t>verified</t>
        </is>
      </c>
      <c r="K6" s="23" t="inlineStr">
        <is>
          <t>keep_flagged</t>
        </is>
      </c>
      <c r="L6" s="24" t="inlineStr">
        <is>
          <t>Discriminant analysis of principal components at the order level revealed the abundances of orders OPB56 and Rhizobiales are important to discriminate the normal eye while the orders Halanaerobiales, Erysipelotrichales and Anaeroplasmatales are important to discriminate dry eye</t>
        </is>
      </c>
      <c r="M6" s="20" t="inlineStr"/>
      <c r="N6" s="21" t="inlineStr"/>
      <c r="O6" s="21" t="inlineStr"/>
    </row>
    <row r="7" ht="20" customHeight="1">
      <c r="A7" s="16" t="inlineStr">
        <is>
          <t>Verrucomicrobia</t>
        </is>
      </c>
      <c r="B7" s="16" t="inlineStr">
        <is>
          <t>bacteria</t>
        </is>
      </c>
      <c r="C7" s="16" t="inlineStr">
        <is>
          <t>phylum</t>
        </is>
      </c>
      <c r="D7" s="16" t="inlineStr">
        <is>
          <t>dry eye disease</t>
        </is>
      </c>
      <c r="E7" s="26" t="inlineStr">
        <is>
          <t>unclear</t>
        </is>
      </c>
      <c r="F7" s="16" t="inlineStr">
        <is>
          <t>disease_vs_control</t>
        </is>
      </c>
      <c r="G7" s="16" t="inlineStr">
        <is>
          <t>other</t>
        </is>
      </c>
      <c r="H7" s="16" t="inlineStr">
        <is>
          <t>4.6e-11</t>
        </is>
      </c>
      <c r="I7" s="16" t="inlineStr">
        <is>
          <t>high</t>
        </is>
      </c>
      <c r="J7" s="18" t="inlineStr">
        <is>
          <t>verified</t>
        </is>
      </c>
      <c r="K7" s="18" t="inlineStr">
        <is>
          <t>keep</t>
        </is>
      </c>
      <c r="L7" s="19" t="inlineStr">
        <is>
          <t>At the phylum level, Firmicutes and Bacteroidetes remained unchanged, while Verrucomicrobia (FDR P = 4.6 × 10−11) and Proteobacteria (FDR P = 6.0 × 10−10) showed the most significant differences.</t>
        </is>
      </c>
      <c r="M7" s="20" t="inlineStr"/>
      <c r="N7" s="21" t="inlineStr"/>
      <c r="O7" s="21" t="inlineStr"/>
    </row>
    <row r="8" ht="20" customHeight="1">
      <c r="A8" s="22" t="inlineStr">
        <is>
          <t>Proteobacteria</t>
        </is>
      </c>
      <c r="B8" s="22" t="inlineStr">
        <is>
          <t>bacteria</t>
        </is>
      </c>
      <c r="C8" s="22" t="inlineStr">
        <is>
          <t>phylum</t>
        </is>
      </c>
      <c r="D8" s="22" t="inlineStr">
        <is>
          <t>dry eye disease</t>
        </is>
      </c>
      <c r="E8" s="26" t="inlineStr">
        <is>
          <t>unclear</t>
        </is>
      </c>
      <c r="F8" s="22" t="inlineStr">
        <is>
          <t>disease_vs_control</t>
        </is>
      </c>
      <c r="G8" s="22" t="inlineStr">
        <is>
          <t>other</t>
        </is>
      </c>
      <c r="H8" s="22" t="inlineStr">
        <is>
          <t>6.0e-10</t>
        </is>
      </c>
      <c r="I8" s="22" t="inlineStr">
        <is>
          <t>high</t>
        </is>
      </c>
      <c r="J8" s="23" t="inlineStr">
        <is>
          <t>verified</t>
        </is>
      </c>
      <c r="K8" s="23" t="inlineStr">
        <is>
          <t>keep</t>
        </is>
      </c>
      <c r="L8" s="24" t="inlineStr">
        <is>
          <t>At the phylum level, Firmicutes and Bacteroidetes remained unchanged, while Verrucomicrobia (FDR P = 4.6 × 10−11) and Proteobacteria (FDR P = 6.0 × 10−10) showed the most significant differences.</t>
        </is>
      </c>
      <c r="M8" s="20" t="inlineStr"/>
      <c r="N8" s="21" t="inlineStr"/>
      <c r="O8" s="21" t="inlineStr"/>
    </row>
    <row r="9" ht="20" customHeight="1">
      <c r="A9" s="16" t="inlineStr">
        <is>
          <t>Firmicutes</t>
        </is>
      </c>
      <c r="B9" s="16" t="inlineStr">
        <is>
          <t>bacteria</t>
        </is>
      </c>
      <c r="C9" s="16" t="inlineStr">
        <is>
          <t>phylum</t>
        </is>
      </c>
      <c r="D9" s="16" t="inlineStr">
        <is>
          <t>dry eye disease</t>
        </is>
      </c>
      <c r="E9" s="25" t="inlineStr">
        <is>
          <t>unchanged</t>
        </is>
      </c>
      <c r="F9" s="16" t="inlineStr">
        <is>
          <t>disease_vs_control</t>
        </is>
      </c>
      <c r="G9" s="16" t="inlineStr">
        <is>
          <t>other</t>
        </is>
      </c>
      <c r="H9" s="16" t="inlineStr"/>
      <c r="I9" s="16" t="inlineStr">
        <is>
          <t>high</t>
        </is>
      </c>
      <c r="J9" s="18" t="inlineStr">
        <is>
          <t>verified</t>
        </is>
      </c>
      <c r="K9" s="18" t="inlineStr">
        <is>
          <t>keep</t>
        </is>
      </c>
      <c r="L9" s="19" t="inlineStr">
        <is>
          <t>At the phylum level, Firmicutes and Bacteroidetes remained unchanged, while Verrucomicrobia (FDR P = 4.6 × 10−11) and Proteobacteria (FDR P = 6.0 × 10−10) showed the most significant differences.</t>
        </is>
      </c>
      <c r="M9" s="20" t="inlineStr"/>
      <c r="N9" s="21" t="inlineStr"/>
      <c r="O9" s="21" t="inlineStr"/>
    </row>
    <row r="10" ht="20" customHeight="1">
      <c r="A10" s="22" t="inlineStr">
        <is>
          <t>Bacteroidetes</t>
        </is>
      </c>
      <c r="B10" s="22" t="inlineStr">
        <is>
          <t>bacteria</t>
        </is>
      </c>
      <c r="C10" s="22" t="inlineStr">
        <is>
          <t>phylum</t>
        </is>
      </c>
      <c r="D10" s="22" t="inlineStr">
        <is>
          <t>dry eye disease</t>
        </is>
      </c>
      <c r="E10" s="25" t="inlineStr">
        <is>
          <t>unchanged</t>
        </is>
      </c>
      <c r="F10" s="22" t="inlineStr">
        <is>
          <t>disease_vs_control</t>
        </is>
      </c>
      <c r="G10" s="22" t="inlineStr">
        <is>
          <t>other</t>
        </is>
      </c>
      <c r="H10" s="22" t="inlineStr"/>
      <c r="I10" s="22" t="inlineStr">
        <is>
          <t>high</t>
        </is>
      </c>
      <c r="J10" s="23" t="inlineStr">
        <is>
          <t>verified</t>
        </is>
      </c>
      <c r="K10" s="23" t="inlineStr">
        <is>
          <t>keep</t>
        </is>
      </c>
      <c r="L10" s="24" t="inlineStr">
        <is>
          <t>At the phylum level, Firmicutes and Bacteroidetes remained unchanged, while Verrucomicrobia (FDR P = 4.6 × 10−11) and Proteobacteria (FDR P = 6.0 × 10−10) showed the most significant differences.</t>
        </is>
      </c>
      <c r="M10" s="20" t="inlineStr"/>
      <c r="N10" s="21" t="inlineStr"/>
      <c r="O10" s="21" t="inlineStr"/>
    </row>
    <row r="11" ht="20" customHeight="1">
      <c r="A11" s="16" t="inlineStr">
        <is>
          <t>Bradyrhizobium</t>
        </is>
      </c>
      <c r="B11" s="16" t="inlineStr">
        <is>
          <t>bacteria</t>
        </is>
      </c>
      <c r="C11" s="16" t="inlineStr">
        <is>
          <t>genus</t>
        </is>
      </c>
      <c r="D11" s="16" t="inlineStr">
        <is>
          <t>dry eye disease</t>
        </is>
      </c>
      <c r="E11" s="26" t="inlineStr">
        <is>
          <t>unclear</t>
        </is>
      </c>
      <c r="F11" s="16" t="inlineStr">
        <is>
          <t>disease_vs_control</t>
        </is>
      </c>
      <c r="G11" s="16" t="inlineStr">
        <is>
          <t>other</t>
        </is>
      </c>
      <c r="H11" s="16" t="inlineStr">
        <is>
          <t>&lt; 1.1e-11</t>
        </is>
      </c>
      <c r="I11" s="16" t="inlineStr">
        <is>
          <t>high</t>
        </is>
      </c>
      <c r="J11" s="18" t="inlineStr">
        <is>
          <t>verified</t>
        </is>
      </c>
      <c r="K11" s="18" t="inlineStr">
        <is>
          <t>keep</t>
        </is>
      </c>
      <c r="L11" s="19" t="inlineStr">
        <is>
          <t>Univariate analysis using negative binomial regression identified Methylobacteriaceae, Pseudomonas, Bradyrhizobium and Allobaculum as the five most differently abundant genera (all with FDR-adjusted P &lt; 1.1 × 10−11, Supplemental Fig. S5a and Supplemental Table 4).</t>
        </is>
      </c>
      <c r="M11" s="20" t="inlineStr"/>
      <c r="N11" s="21" t="inlineStr"/>
      <c r="O11" s="21" t="inlineStr"/>
    </row>
    <row r="12" ht="20" customHeight="1">
      <c r="A12" s="22" t="inlineStr">
        <is>
          <t>Allobaculum</t>
        </is>
      </c>
      <c r="B12" s="22" t="inlineStr">
        <is>
          <t>bacteria</t>
        </is>
      </c>
      <c r="C12" s="22" t="inlineStr">
        <is>
          <t>genus</t>
        </is>
      </c>
      <c r="D12" s="22" t="inlineStr">
        <is>
          <t>dry eye disease</t>
        </is>
      </c>
      <c r="E12" s="26" t="inlineStr">
        <is>
          <t>unclear</t>
        </is>
      </c>
      <c r="F12" s="22" t="inlineStr">
        <is>
          <t>disease_vs_control</t>
        </is>
      </c>
      <c r="G12" s="22" t="inlineStr">
        <is>
          <t>other</t>
        </is>
      </c>
      <c r="H12" s="22" t="inlineStr">
        <is>
          <t>&lt; 1.1e-11</t>
        </is>
      </c>
      <c r="I12" s="22" t="inlineStr">
        <is>
          <t>high</t>
        </is>
      </c>
      <c r="J12" s="23" t="inlineStr">
        <is>
          <t>verified</t>
        </is>
      </c>
      <c r="K12" s="23" t="inlineStr">
        <is>
          <t>keep</t>
        </is>
      </c>
      <c r="L12" s="24" t="inlineStr">
        <is>
          <t>Univariate analysis using negative binomial regression identified Methylobacteriaceae, Pseudomonas, Bradyrhizobium and Allobaculum as the five most differently abundant genera (all with FDR-adjusted P &lt; 1.1 × 10−11, Supplemental Fig. S5a and Supplemental Table 4).</t>
        </is>
      </c>
      <c r="M12" s="20" t="inlineStr"/>
      <c r="N12" s="21" t="inlineStr"/>
      <c r="O12" s="21" t="inlineStr"/>
    </row>
    <row r="13" ht="20" customHeight="1">
      <c r="A13" s="16" t="inlineStr">
        <is>
          <t>Halanaerobiales</t>
        </is>
      </c>
      <c r="B13" s="16" t="inlineStr">
        <is>
          <t>bacteria</t>
        </is>
      </c>
      <c r="C13" s="16" t="inlineStr">
        <is>
          <t>order</t>
        </is>
      </c>
      <c r="D13" s="16" t="inlineStr">
        <is>
          <t>dry eye disease</t>
        </is>
      </c>
      <c r="E13" s="17" t="inlineStr">
        <is>
          <t>increased</t>
        </is>
      </c>
      <c r="F13" s="16" t="inlineStr">
        <is>
          <t>disease_vs_control</t>
        </is>
      </c>
      <c r="G13" s="16" t="inlineStr">
        <is>
          <t>other</t>
        </is>
      </c>
      <c r="H13" s="16" t="inlineStr"/>
      <c r="I13" s="16" t="inlineStr">
        <is>
          <t>medium</t>
        </is>
      </c>
      <c r="J13" s="18" t="inlineStr">
        <is>
          <t>verified</t>
        </is>
      </c>
      <c r="K13" s="18" t="inlineStr">
        <is>
          <t>keep</t>
        </is>
      </c>
      <c r="L13" s="19" t="inlineStr">
        <is>
          <t>Discriminant analysis of principal components at the order level revealed the abundances of orders OPB56 and Rhizobiales are important to discriminate the normal eye while the orders Halanaerobiales, Erysipelotrichales and Anaeroplasmatales are important to discriminate dry eye</t>
        </is>
      </c>
      <c r="M13" s="20" t="inlineStr"/>
      <c r="N13" s="21" t="inlineStr"/>
      <c r="O13" s="21" t="inlineStr"/>
    </row>
    <row r="14" ht="20" customHeight="1">
      <c r="A14" s="22" t="inlineStr">
        <is>
          <t>Erysipelotrichales</t>
        </is>
      </c>
      <c r="B14" s="22" t="inlineStr">
        <is>
          <t>bacteria</t>
        </is>
      </c>
      <c r="C14" s="22" t="inlineStr">
        <is>
          <t>order</t>
        </is>
      </c>
      <c r="D14" s="22" t="inlineStr">
        <is>
          <t>dry eye disease</t>
        </is>
      </c>
      <c r="E14" s="17" t="inlineStr">
        <is>
          <t>increased</t>
        </is>
      </c>
      <c r="F14" s="22" t="inlineStr">
        <is>
          <t>disease_vs_control</t>
        </is>
      </c>
      <c r="G14" s="22" t="inlineStr">
        <is>
          <t>other</t>
        </is>
      </c>
      <c r="H14" s="22" t="inlineStr"/>
      <c r="I14" s="22" t="inlineStr">
        <is>
          <t>medium</t>
        </is>
      </c>
      <c r="J14" s="23" t="inlineStr">
        <is>
          <t>verified</t>
        </is>
      </c>
      <c r="K14" s="23" t="inlineStr">
        <is>
          <t>keep</t>
        </is>
      </c>
      <c r="L14" s="24" t="inlineStr">
        <is>
          <t>Discriminant analysis of principal components at the order level revealed the abundances of orders OPB56 and Rhizobiales are important to discriminate the normal eye while the orders Halanaerobiales, Erysipelotrichales and Anaeroplasmatales are important to discriminate dry eye</t>
        </is>
      </c>
      <c r="M14" s="20" t="inlineStr"/>
      <c r="N14" s="21" t="inlineStr"/>
      <c r="O14" s="21" t="inlineStr"/>
    </row>
    <row r="15" ht="20" customHeight="1">
      <c r="A15" s="16" t="inlineStr">
        <is>
          <t>Anaeroplasmatales</t>
        </is>
      </c>
      <c r="B15" s="16" t="inlineStr">
        <is>
          <t>bacteria</t>
        </is>
      </c>
      <c r="C15" s="16" t="inlineStr">
        <is>
          <t>order</t>
        </is>
      </c>
      <c r="D15" s="16" t="inlineStr">
        <is>
          <t>dry eye disease</t>
        </is>
      </c>
      <c r="E15" s="17" t="inlineStr">
        <is>
          <t>increased</t>
        </is>
      </c>
      <c r="F15" s="16" t="inlineStr">
        <is>
          <t>disease_vs_control</t>
        </is>
      </c>
      <c r="G15" s="16" t="inlineStr">
        <is>
          <t>other</t>
        </is>
      </c>
      <c r="H15" s="16" t="inlineStr"/>
      <c r="I15" s="16" t="inlineStr">
        <is>
          <t>medium</t>
        </is>
      </c>
      <c r="J15" s="18" t="inlineStr">
        <is>
          <t>verified</t>
        </is>
      </c>
      <c r="K15" s="18" t="inlineStr">
        <is>
          <t>keep</t>
        </is>
      </c>
      <c r="L15" s="19" t="inlineStr">
        <is>
          <t>Discriminant analysis of principal components at the order level revealed the abundances of orders OPB56 and Rhizobiales are important to discriminate the normal eye while the orders Halanaerobiales, Erysipelotrichales and Anaeroplasmatales are important to discriminate dry eye</t>
        </is>
      </c>
      <c r="M15" s="20" t="inlineStr"/>
      <c r="N15" s="21" t="inlineStr"/>
      <c r="O15" s="21" t="inlineStr"/>
    </row>
    <row r="16" ht="20" customHeight="1">
      <c r="A16" s="22" t="inlineStr">
        <is>
          <t>Rhizobiales</t>
        </is>
      </c>
      <c r="B16" s="22" t="inlineStr">
        <is>
          <t>bacteria</t>
        </is>
      </c>
      <c r="C16" s="22" t="inlineStr">
        <is>
          <t>order</t>
        </is>
      </c>
      <c r="D16" s="22" t="inlineStr">
        <is>
          <t>dry eye disease</t>
        </is>
      </c>
      <c r="E16" s="27" t="inlineStr">
        <is>
          <t>decreased</t>
        </is>
      </c>
      <c r="F16" s="22" t="inlineStr">
        <is>
          <t>disease_vs_control</t>
        </is>
      </c>
      <c r="G16" s="22" t="inlineStr">
        <is>
          <t>other</t>
        </is>
      </c>
      <c r="H16" s="22" t="inlineStr"/>
      <c r="I16" s="22" t="inlineStr">
        <is>
          <t>medium</t>
        </is>
      </c>
      <c r="J16" s="23" t="inlineStr">
        <is>
          <t>verified</t>
        </is>
      </c>
      <c r="K16" s="23" t="inlineStr">
        <is>
          <t>keep</t>
        </is>
      </c>
      <c r="L16" s="24" t="inlineStr">
        <is>
          <t>Discriminant analysis of principal components at the order level revealed the abundances of orders OPB56 and Rhizobiales are important to discriminate the normal eye while the orders Halanaerobiales, Erysipelotrichales and Anaeroplasmatales are important to discriminate dry eye</t>
        </is>
      </c>
      <c r="M16" s="20" t="inlineStr"/>
      <c r="N16" s="21" t="inlineStr"/>
      <c r="O16" s="21" t="inlineStr"/>
    </row>
    <row r="17" ht="20" customHeight="1">
      <c r="A17" s="16" t="inlineStr">
        <is>
          <t>Helicobacter</t>
        </is>
      </c>
      <c r="B17" s="16" t="inlineStr">
        <is>
          <t>bacteria</t>
        </is>
      </c>
      <c r="C17" s="16" t="inlineStr">
        <is>
          <t>genus</t>
        </is>
      </c>
      <c r="D17" s="16" t="inlineStr">
        <is>
          <t>dry eye disease</t>
        </is>
      </c>
      <c r="E17" s="17" t="inlineStr">
        <is>
          <t>increased</t>
        </is>
      </c>
      <c r="F17" s="16" t="inlineStr">
        <is>
          <t>disease_vs_control</t>
        </is>
      </c>
      <c r="G17" s="16" t="inlineStr">
        <is>
          <t>other</t>
        </is>
      </c>
      <c r="H17" s="16" t="inlineStr"/>
      <c r="I17" s="16" t="inlineStr">
        <is>
          <t>medium</t>
        </is>
      </c>
      <c r="J17" s="18" t="inlineStr">
        <is>
          <t>verified</t>
        </is>
      </c>
      <c r="K17" s="18" t="inlineStr">
        <is>
          <t>keep</t>
        </is>
      </c>
      <c r="L17" s="19" t="inlineStr">
        <is>
          <t>We identified 5 genera that reliably identified individuals with dry eye (Pseudomonas, Methylobacteriaceae, Helicobacter, Acetobacter and Stenotrophomonas) with 3 genera that reliably identified normal patients (Leuconostocaceae, Streptococcus and Calothrix)</t>
        </is>
      </c>
      <c r="M17" s="20" t="inlineStr"/>
      <c r="N17" s="21" t="inlineStr"/>
      <c r="O17" s="21" t="inlineStr"/>
    </row>
    <row r="18" ht="20" customHeight="1">
      <c r="A18" s="22" t="inlineStr">
        <is>
          <t>Acetobacter</t>
        </is>
      </c>
      <c r="B18" s="22" t="inlineStr">
        <is>
          <t>bacteria</t>
        </is>
      </c>
      <c r="C18" s="22" t="inlineStr">
        <is>
          <t>genus</t>
        </is>
      </c>
      <c r="D18" s="22" t="inlineStr">
        <is>
          <t>dry eye disease</t>
        </is>
      </c>
      <c r="E18" s="17" t="inlineStr">
        <is>
          <t>increased</t>
        </is>
      </c>
      <c r="F18" s="22" t="inlineStr">
        <is>
          <t>disease_vs_control</t>
        </is>
      </c>
      <c r="G18" s="22" t="inlineStr">
        <is>
          <t>other</t>
        </is>
      </c>
      <c r="H18" s="22" t="inlineStr"/>
      <c r="I18" s="22" t="inlineStr">
        <is>
          <t>medium</t>
        </is>
      </c>
      <c r="J18" s="23" t="inlineStr">
        <is>
          <t>verified</t>
        </is>
      </c>
      <c r="K18" s="23" t="inlineStr">
        <is>
          <t>keep</t>
        </is>
      </c>
      <c r="L18" s="24" t="inlineStr">
        <is>
          <t>We identified 5 genera that reliably identified individuals with dry eye (Pseudomonas, Methylobacteriaceae, Helicobacter, Acetobacter and Stenotrophomonas) with 3 genera that reliably identified normal patients (Leuconostocaceae, Streptococcus and Calothrix)</t>
        </is>
      </c>
      <c r="M18" s="20" t="inlineStr"/>
      <c r="N18" s="21" t="inlineStr"/>
      <c r="O18" s="21" t="inlineStr"/>
    </row>
    <row r="19" ht="20" customHeight="1">
      <c r="A19" s="16" t="inlineStr">
        <is>
          <t>Stenotrophomonas</t>
        </is>
      </c>
      <c r="B19" s="16" t="inlineStr">
        <is>
          <t>bacteria</t>
        </is>
      </c>
      <c r="C19" s="16" t="inlineStr">
        <is>
          <t>genus</t>
        </is>
      </c>
      <c r="D19" s="16" t="inlineStr">
        <is>
          <t>dry eye disease</t>
        </is>
      </c>
      <c r="E19" s="17" t="inlineStr">
        <is>
          <t>increased</t>
        </is>
      </c>
      <c r="F19" s="16" t="inlineStr">
        <is>
          <t>disease_vs_control</t>
        </is>
      </c>
      <c r="G19" s="16" t="inlineStr">
        <is>
          <t>other</t>
        </is>
      </c>
      <c r="H19" s="16" t="inlineStr"/>
      <c r="I19" s="16" t="inlineStr">
        <is>
          <t>medium</t>
        </is>
      </c>
      <c r="J19" s="18" t="inlineStr">
        <is>
          <t>verified</t>
        </is>
      </c>
      <c r="K19" s="18" t="inlineStr">
        <is>
          <t>keep</t>
        </is>
      </c>
      <c r="L19" s="19" t="inlineStr">
        <is>
          <t>We identified 5 genera that reliably identified individuals with dry eye (Pseudomonas, Methylobacteriaceae, Helicobacter, Acetobacter and Stenotrophomonas) with 3 genera that reliably identified normal patients (Leuconostocaceae, Streptococcus and Calothrix)</t>
        </is>
      </c>
      <c r="M19" s="20" t="inlineStr"/>
      <c r="N19" s="21" t="inlineStr"/>
      <c r="O19" s="21" t="inlineStr"/>
    </row>
    <row r="20" ht="20" customHeight="1">
      <c r="A20" s="22" t="inlineStr">
        <is>
          <t>Leuconostocaceae</t>
        </is>
      </c>
      <c r="B20" s="22" t="inlineStr">
        <is>
          <t>bacteria</t>
        </is>
      </c>
      <c r="C20" s="22" t="inlineStr">
        <is>
          <t>family</t>
        </is>
      </c>
      <c r="D20" s="22" t="inlineStr">
        <is>
          <t>dry eye disease</t>
        </is>
      </c>
      <c r="E20" s="27" t="inlineStr">
        <is>
          <t>decreased</t>
        </is>
      </c>
      <c r="F20" s="22" t="inlineStr">
        <is>
          <t>disease_vs_control</t>
        </is>
      </c>
      <c r="G20" s="22" t="inlineStr">
        <is>
          <t>other</t>
        </is>
      </c>
      <c r="H20" s="22" t="inlineStr"/>
      <c r="I20" s="22" t="inlineStr">
        <is>
          <t>medium</t>
        </is>
      </c>
      <c r="J20" s="23" t="inlineStr">
        <is>
          <t>verified</t>
        </is>
      </c>
      <c r="K20" s="23" t="inlineStr">
        <is>
          <t>keep</t>
        </is>
      </c>
      <c r="L20" s="24" t="inlineStr">
        <is>
          <t>We identified 5 genera that reliably identified individuals with dry eye (Pseudomonas, Methylobacteriaceae, Helicobacter, Acetobacter and Stenotrophomonas) with 3 genera that reliably identified normal patients (Leuconostocaceae, Streptococcus and Calothrix)</t>
        </is>
      </c>
      <c r="M20" s="20" t="inlineStr"/>
      <c r="N20" s="21" t="inlineStr"/>
      <c r="O20" s="21" t="inlineStr"/>
    </row>
    <row r="21" ht="20" customHeight="1">
      <c r="A21" s="16" t="inlineStr">
        <is>
          <t>Streptococcus</t>
        </is>
      </c>
      <c r="B21" s="16" t="inlineStr">
        <is>
          <t>bacteria</t>
        </is>
      </c>
      <c r="C21" s="16" t="inlineStr">
        <is>
          <t>genus</t>
        </is>
      </c>
      <c r="D21" s="16" t="inlineStr">
        <is>
          <t>dry eye disease</t>
        </is>
      </c>
      <c r="E21" s="27" t="inlineStr">
        <is>
          <t>decreased</t>
        </is>
      </c>
      <c r="F21" s="16" t="inlineStr">
        <is>
          <t>disease_vs_control</t>
        </is>
      </c>
      <c r="G21" s="16" t="inlineStr">
        <is>
          <t>other</t>
        </is>
      </c>
      <c r="H21" s="16" t="inlineStr">
        <is>
          <t>&lt; 0.01</t>
        </is>
      </c>
      <c r="I21" s="16" t="inlineStr">
        <is>
          <t>high</t>
        </is>
      </c>
      <c r="J21" s="18" t="inlineStr">
        <is>
          <t>verified</t>
        </is>
      </c>
      <c r="K21" s="18" t="inlineStr">
        <is>
          <t>keep</t>
        </is>
      </c>
      <c r="L21" s="19" t="inlineStr">
        <is>
          <t>Univariate analysis detected the most significant differences in the abundance of MLE112, Lactobacillaceae, Streptococcus, Sphingobium, Caldicoprobacter and Anaerococcus (ANOVA, P &lt; 0.01, Fig. 3c)</t>
        </is>
      </c>
      <c r="M21" s="20" t="inlineStr"/>
      <c r="N21" s="21" t="inlineStr"/>
      <c r="O21" s="21" t="inlineStr"/>
    </row>
    <row r="22" ht="20" customHeight="1">
      <c r="A22" s="22" t="inlineStr">
        <is>
          <t>Calothrix</t>
        </is>
      </c>
      <c r="B22" s="22" t="inlineStr">
        <is>
          <t>bacteria</t>
        </is>
      </c>
      <c r="C22" s="22" t="inlineStr">
        <is>
          <t>genus</t>
        </is>
      </c>
      <c r="D22" s="22" t="inlineStr">
        <is>
          <t>dry eye disease</t>
        </is>
      </c>
      <c r="E22" s="27" t="inlineStr">
        <is>
          <t>decreased</t>
        </is>
      </c>
      <c r="F22" s="22" t="inlineStr">
        <is>
          <t>disease_vs_control</t>
        </is>
      </c>
      <c r="G22" s="22" t="inlineStr">
        <is>
          <t>other</t>
        </is>
      </c>
      <c r="H22" s="22" t="inlineStr"/>
      <c r="I22" s="22" t="inlineStr">
        <is>
          <t>low</t>
        </is>
      </c>
      <c r="J22" s="23" t="inlineStr">
        <is>
          <t>verified</t>
        </is>
      </c>
      <c r="K22" s="23" t="inlineStr">
        <is>
          <t>keep_flagged</t>
        </is>
      </c>
      <c r="L22" s="24" t="inlineStr">
        <is>
          <t>We identified 5 genera that reliably identified individuals with dry eye (Pseudomonas, Methylobacteriaceae, Helicobacter, Acetobacter and Stenotrophomonas) with 3 genera that reliably identified normal patients (Leuconostocaceae, Streptococcus and Calothrix)</t>
        </is>
      </c>
      <c r="M22" s="20" t="inlineStr"/>
      <c r="N22" s="21" t="inlineStr"/>
      <c r="O22" s="21" t="inlineStr"/>
    </row>
    <row r="23" ht="20" customHeight="1">
      <c r="A23" s="16" t="inlineStr">
        <is>
          <t>Methylobacterium</t>
        </is>
      </c>
      <c r="B23" s="16" t="inlineStr">
        <is>
          <t>bacteria</t>
        </is>
      </c>
      <c r="C23" s="16" t="inlineStr">
        <is>
          <t>genus</t>
        </is>
      </c>
      <c r="D23" s="16" t="inlineStr">
        <is>
          <t>dry eye disease</t>
        </is>
      </c>
      <c r="E23" s="17" t="inlineStr">
        <is>
          <t>increased</t>
        </is>
      </c>
      <c r="F23" s="16" t="inlineStr">
        <is>
          <t>disease_vs_control</t>
        </is>
      </c>
      <c r="G23" s="16" t="inlineStr">
        <is>
          <t>other</t>
        </is>
      </c>
      <c r="H23" s="16" t="inlineStr"/>
      <c r="I23" s="16" t="inlineStr">
        <is>
          <t>medium</t>
        </is>
      </c>
      <c r="J23" s="18" t="inlineStr">
        <is>
          <t>verified</t>
        </is>
      </c>
      <c r="K23" s="18" t="inlineStr">
        <is>
          <t>keep</t>
        </is>
      </c>
      <c r="L23" s="19" t="inlineStr">
        <is>
          <t>variable importance analysis identified the prevalence of the genera Methylobacterium, Megasphaera, Parabacteroides, S247, Bifidobacterium, Streptococcus, Desulfovibrio, Acetobacter, Dialister and Bacillus as particularly useful to identify samples from individuals with dry eye (Importance &gt; 20)</t>
        </is>
      </c>
      <c r="M23" s="20" t="inlineStr"/>
      <c r="N23" s="21" t="inlineStr"/>
      <c r="O23" s="21" t="inlineStr"/>
    </row>
    <row r="24" ht="20" customHeight="1">
      <c r="A24" s="22" t="inlineStr">
        <is>
          <t>Megasphaera</t>
        </is>
      </c>
      <c r="B24" s="22" t="inlineStr">
        <is>
          <t>bacteria</t>
        </is>
      </c>
      <c r="C24" s="22" t="inlineStr">
        <is>
          <t>genus</t>
        </is>
      </c>
      <c r="D24" s="22" t="inlineStr">
        <is>
          <t>dry eye disease</t>
        </is>
      </c>
      <c r="E24" s="26" t="inlineStr">
        <is>
          <t>unclear</t>
        </is>
      </c>
      <c r="F24" s="22" t="inlineStr">
        <is>
          <t>disease_vs_control</t>
        </is>
      </c>
      <c r="G24" s="22" t="inlineStr">
        <is>
          <t>other</t>
        </is>
      </c>
      <c r="H24" s="22" t="inlineStr"/>
      <c r="I24" s="22" t="inlineStr">
        <is>
          <t>low</t>
        </is>
      </c>
      <c r="J24" s="23" t="inlineStr">
        <is>
          <t>verified</t>
        </is>
      </c>
      <c r="K24" s="23" t="inlineStr">
        <is>
          <t>keep</t>
        </is>
      </c>
      <c r="L24" s="24" t="inlineStr">
        <is>
          <t>variable importance analysis identified the prevalence of the genera Methylobacterium, Megasphaera, Parabacteroides, S247, Bifidobacterium, Streptococcus, Desulfovibrio, Acetobacter, Dialister and Bacillus as particularly useful to identify samples from individuals with dry eye (Importance &gt; 20)</t>
        </is>
      </c>
      <c r="M24" s="20" t="inlineStr"/>
      <c r="N24" s="21" t="inlineStr"/>
      <c r="O24" s="21" t="inlineStr"/>
    </row>
    <row r="25" ht="20" customHeight="1">
      <c r="A25" s="16" t="inlineStr">
        <is>
          <t>Parabacteroides</t>
        </is>
      </c>
      <c r="B25" s="16" t="inlineStr">
        <is>
          <t>bacteria</t>
        </is>
      </c>
      <c r="C25" s="16" t="inlineStr">
        <is>
          <t>genus</t>
        </is>
      </c>
      <c r="D25" s="16" t="inlineStr">
        <is>
          <t>dry eye disease</t>
        </is>
      </c>
      <c r="E25" s="26" t="inlineStr">
        <is>
          <t>unclear</t>
        </is>
      </c>
      <c r="F25" s="16" t="inlineStr">
        <is>
          <t>disease_vs_control</t>
        </is>
      </c>
      <c r="G25" s="16" t="inlineStr">
        <is>
          <t>other</t>
        </is>
      </c>
      <c r="H25" s="16" t="inlineStr"/>
      <c r="I25" s="16" t="inlineStr">
        <is>
          <t>low</t>
        </is>
      </c>
      <c r="J25" s="18" t="inlineStr">
        <is>
          <t>verified</t>
        </is>
      </c>
      <c r="K25" s="18" t="inlineStr">
        <is>
          <t>keep</t>
        </is>
      </c>
      <c r="L25" s="19" t="inlineStr">
        <is>
          <t>variable importance analysis identified the prevalence of the genera Methylobacterium, Megasphaera, Parabacteroides, S247, Bifidobacterium, Streptococcus, Desulfovibrio, Acetobacter, Dialister and Bacillus as particularly useful to identify samples from individuals with dry eye (Importance &gt; 20)</t>
        </is>
      </c>
      <c r="M25" s="20" t="inlineStr"/>
      <c r="N25" s="21" t="inlineStr"/>
      <c r="O25" s="21" t="inlineStr"/>
    </row>
    <row r="26" ht="20" customHeight="1">
      <c r="A26" s="22" t="inlineStr">
        <is>
          <t>Bifidobacterium</t>
        </is>
      </c>
      <c r="B26" s="22" t="inlineStr">
        <is>
          <t>bacteria</t>
        </is>
      </c>
      <c r="C26" s="22" t="inlineStr">
        <is>
          <t>genus</t>
        </is>
      </c>
      <c r="D26" s="22" t="inlineStr">
        <is>
          <t>dry eye disease</t>
        </is>
      </c>
      <c r="E26" s="26" t="inlineStr">
        <is>
          <t>unclear</t>
        </is>
      </c>
      <c r="F26" s="22" t="inlineStr">
        <is>
          <t>disease_vs_control</t>
        </is>
      </c>
      <c r="G26" s="22" t="inlineStr">
        <is>
          <t>other</t>
        </is>
      </c>
      <c r="H26" s="22" t="inlineStr"/>
      <c r="I26" s="22" t="inlineStr">
        <is>
          <t>low</t>
        </is>
      </c>
      <c r="J26" s="23" t="inlineStr">
        <is>
          <t>verified</t>
        </is>
      </c>
      <c r="K26" s="23" t="inlineStr">
        <is>
          <t>keep</t>
        </is>
      </c>
      <c r="L26" s="24" t="inlineStr">
        <is>
          <t>variable importance analysis identified the prevalence of the genera Methylobacterium, Megasphaera, Parabacteroides, S247, Bifidobacterium, Streptococcus, Desulfovibrio, Acetobacter, Dialister and Bacillus as particularly useful to identify samples from individuals with dry eye (Importance &gt; 20)</t>
        </is>
      </c>
      <c r="M26" s="20" t="inlineStr"/>
      <c r="N26" s="21" t="inlineStr"/>
      <c r="O26" s="21" t="inlineStr"/>
    </row>
    <row r="27" ht="20" customHeight="1">
      <c r="A27" s="16" t="inlineStr">
        <is>
          <t>Desulfovibrio</t>
        </is>
      </c>
      <c r="B27" s="16" t="inlineStr">
        <is>
          <t>bacteria</t>
        </is>
      </c>
      <c r="C27" s="16" t="inlineStr">
        <is>
          <t>genus</t>
        </is>
      </c>
      <c r="D27" s="16" t="inlineStr">
        <is>
          <t>dry eye disease</t>
        </is>
      </c>
      <c r="E27" s="26" t="inlineStr">
        <is>
          <t>unclear</t>
        </is>
      </c>
      <c r="F27" s="16" t="inlineStr">
        <is>
          <t>disease_vs_control</t>
        </is>
      </c>
      <c r="G27" s="16" t="inlineStr">
        <is>
          <t>other</t>
        </is>
      </c>
      <c r="H27" s="16" t="inlineStr"/>
      <c r="I27" s="16" t="inlineStr">
        <is>
          <t>low</t>
        </is>
      </c>
      <c r="J27" s="18" t="inlineStr">
        <is>
          <t>verified</t>
        </is>
      </c>
      <c r="K27" s="18" t="inlineStr">
        <is>
          <t>keep</t>
        </is>
      </c>
      <c r="L27" s="19" t="inlineStr">
        <is>
          <t>variable importance analysis identified the prevalence of the genera Methylobacterium, Megasphaera, Parabacteroides, S247, Bifidobacterium, Streptococcus, Desulfovibrio, Acetobacter, Dialister and Bacillus as particularly useful to identify samples from individuals with dry eye (Importance &gt; 20)</t>
        </is>
      </c>
      <c r="M27" s="20" t="inlineStr"/>
      <c r="N27" s="21" t="inlineStr"/>
      <c r="O27" s="21" t="inlineStr"/>
    </row>
    <row r="28" ht="20" customHeight="1">
      <c r="A28" s="22" t="inlineStr">
        <is>
          <t>Dialister</t>
        </is>
      </c>
      <c r="B28" s="22" t="inlineStr">
        <is>
          <t>bacteria</t>
        </is>
      </c>
      <c r="C28" s="22" t="inlineStr">
        <is>
          <t>genus</t>
        </is>
      </c>
      <c r="D28" s="22" t="inlineStr">
        <is>
          <t>dry eye disease</t>
        </is>
      </c>
      <c r="E28" s="26" t="inlineStr">
        <is>
          <t>unclear</t>
        </is>
      </c>
      <c r="F28" s="22" t="inlineStr">
        <is>
          <t>disease_vs_control</t>
        </is>
      </c>
      <c r="G28" s="22" t="inlineStr">
        <is>
          <t>other</t>
        </is>
      </c>
      <c r="H28" s="22" t="inlineStr"/>
      <c r="I28" s="22" t="inlineStr">
        <is>
          <t>low</t>
        </is>
      </c>
      <c r="J28" s="23" t="inlineStr">
        <is>
          <t>verified</t>
        </is>
      </c>
      <c r="K28" s="23" t="inlineStr">
        <is>
          <t>keep</t>
        </is>
      </c>
      <c r="L28" s="24" t="inlineStr">
        <is>
          <t>variable importance analysis identified the prevalence of the genera Methylobacterium, Megasphaera, Parabacteroides, S247, Bifidobacterium, Streptococcus, Desulfovibrio, Acetobacter, Dialister and Bacillus as particularly useful to identify samples from individuals with dry eye (Importance &gt; 20)</t>
        </is>
      </c>
      <c r="M28" s="20" t="inlineStr"/>
      <c r="N28" s="21" t="inlineStr"/>
      <c r="O28" s="21" t="inlineStr"/>
    </row>
    <row r="29" ht="20" customHeight="1">
      <c r="A29" s="16" t="inlineStr">
        <is>
          <t>Bacillus</t>
        </is>
      </c>
      <c r="B29" s="16" t="inlineStr">
        <is>
          <t>bacteria</t>
        </is>
      </c>
      <c r="C29" s="16" t="inlineStr">
        <is>
          <t>genus</t>
        </is>
      </c>
      <c r="D29" s="16" t="inlineStr">
        <is>
          <t>dry eye disease</t>
        </is>
      </c>
      <c r="E29" s="26" t="inlineStr">
        <is>
          <t>unclear</t>
        </is>
      </c>
      <c r="F29" s="16" t="inlineStr">
        <is>
          <t>disease_vs_control</t>
        </is>
      </c>
      <c r="G29" s="16" t="inlineStr">
        <is>
          <t>other</t>
        </is>
      </c>
      <c r="H29" s="16" t="inlineStr"/>
      <c r="I29" s="16" t="inlineStr">
        <is>
          <t>low</t>
        </is>
      </c>
      <c r="J29" s="18" t="inlineStr">
        <is>
          <t>verified</t>
        </is>
      </c>
      <c r="K29" s="18" t="inlineStr">
        <is>
          <t>keep</t>
        </is>
      </c>
      <c r="L29" s="19" t="inlineStr">
        <is>
          <t>variable importance analysis identified the prevalence of the genera Methylobacterium, Megasphaera, Parabacteroides, S247, Bifidobacterium, Streptococcus, Desulfovibrio, Acetobacter, Dialister and Bacillus as particularly useful to identify samples from individuals with dry eye (Importance &gt; 20)</t>
        </is>
      </c>
      <c r="M29" s="20" t="inlineStr"/>
      <c r="N29" s="21" t="inlineStr"/>
      <c r="O29" s="21" t="inlineStr"/>
    </row>
    <row r="30" ht="20" customHeight="1">
      <c r="A30" s="22" t="inlineStr">
        <is>
          <t>Lactobacillaceae</t>
        </is>
      </c>
      <c r="B30" s="22" t="inlineStr">
        <is>
          <t>bacteria</t>
        </is>
      </c>
      <c r="C30" s="22" t="inlineStr">
        <is>
          <t>family</t>
        </is>
      </c>
      <c r="D30" s="22" t="inlineStr">
        <is>
          <t>dry eye disease</t>
        </is>
      </c>
      <c r="E30" s="26" t="inlineStr">
        <is>
          <t>unclear</t>
        </is>
      </c>
      <c r="F30" s="22" t="inlineStr">
        <is>
          <t>disease_vs_control</t>
        </is>
      </c>
      <c r="G30" s="22" t="inlineStr">
        <is>
          <t>other</t>
        </is>
      </c>
      <c r="H30" s="22" t="inlineStr">
        <is>
          <t>&lt; 0.01</t>
        </is>
      </c>
      <c r="I30" s="22" t="inlineStr">
        <is>
          <t>medium</t>
        </is>
      </c>
      <c r="J30" s="23" t="inlineStr">
        <is>
          <t>verified</t>
        </is>
      </c>
      <c r="K30" s="23" t="inlineStr">
        <is>
          <t>keep</t>
        </is>
      </c>
      <c r="L30" s="24" t="inlineStr">
        <is>
          <t>Univariate analysis detected the most significant differences in the abundance of MLE112, Lactobacillaceae, Streptococcus, Sphingobium, Caldicoprobacter and Anaerococcus (ANOVA, P &lt; 0.01, Fig. 3c)</t>
        </is>
      </c>
      <c r="M30" s="20" t="inlineStr"/>
      <c r="N30" s="21" t="inlineStr"/>
      <c r="O30" s="21" t="inlineStr"/>
    </row>
    <row r="31" ht="20" customHeight="1">
      <c r="A31" s="16" t="inlineStr">
        <is>
          <t>Sphingobium</t>
        </is>
      </c>
      <c r="B31" s="16" t="inlineStr">
        <is>
          <t>bacteria</t>
        </is>
      </c>
      <c r="C31" s="16" t="inlineStr">
        <is>
          <t>genus</t>
        </is>
      </c>
      <c r="D31" s="16" t="inlineStr">
        <is>
          <t>dry eye disease</t>
        </is>
      </c>
      <c r="E31" s="26" t="inlineStr">
        <is>
          <t>unclear</t>
        </is>
      </c>
      <c r="F31" s="16" t="inlineStr">
        <is>
          <t>disease_vs_control</t>
        </is>
      </c>
      <c r="G31" s="16" t="inlineStr">
        <is>
          <t>other</t>
        </is>
      </c>
      <c r="H31" s="16" t="inlineStr">
        <is>
          <t>&lt; 0.01</t>
        </is>
      </c>
      <c r="I31" s="16" t="inlineStr">
        <is>
          <t>medium</t>
        </is>
      </c>
      <c r="J31" s="18" t="inlineStr">
        <is>
          <t>verified</t>
        </is>
      </c>
      <c r="K31" s="18" t="inlineStr">
        <is>
          <t>keep</t>
        </is>
      </c>
      <c r="L31" s="19" t="inlineStr">
        <is>
          <t>Univariate analysis detected the most significant differences in the abundance of MLE112, Lactobacillaceae, Streptococcus, Sphingobium, Caldicoprobacter and Anaerococcus (ANOVA, P &lt; 0.01, Fig. 3c)</t>
        </is>
      </c>
      <c r="M31" s="20" t="inlineStr"/>
      <c r="N31" s="21" t="inlineStr"/>
      <c r="O31" s="21" t="inlineStr"/>
    </row>
    <row r="32" ht="20" customHeight="1">
      <c r="A32" s="22" t="inlineStr">
        <is>
          <t>Caldicoprobacter</t>
        </is>
      </c>
      <c r="B32" s="22" t="inlineStr">
        <is>
          <t>bacteria</t>
        </is>
      </c>
      <c r="C32" s="22" t="inlineStr">
        <is>
          <t>genus</t>
        </is>
      </c>
      <c r="D32" s="22" t="inlineStr">
        <is>
          <t>dry eye disease</t>
        </is>
      </c>
      <c r="E32" s="26" t="inlineStr">
        <is>
          <t>unclear</t>
        </is>
      </c>
      <c r="F32" s="22" t="inlineStr">
        <is>
          <t>disease_vs_control</t>
        </is>
      </c>
      <c r="G32" s="22" t="inlineStr">
        <is>
          <t>other</t>
        </is>
      </c>
      <c r="H32" s="22" t="inlineStr">
        <is>
          <t>&lt; 0.01</t>
        </is>
      </c>
      <c r="I32" s="22" t="inlineStr">
        <is>
          <t>medium</t>
        </is>
      </c>
      <c r="J32" s="23" t="inlineStr">
        <is>
          <t>verified</t>
        </is>
      </c>
      <c r="K32" s="23" t="inlineStr">
        <is>
          <t>keep</t>
        </is>
      </c>
      <c r="L32" s="24" t="inlineStr">
        <is>
          <t>Univariate analysis detected the most significant differences in the abundance of MLE112, Lactobacillaceae, Streptococcus, Sphingobium, Caldicoprobacter and Anaerococcus (ANOVA, P &lt; 0.01, Fig. 3c)</t>
        </is>
      </c>
      <c r="M32" s="20" t="inlineStr"/>
      <c r="N32" s="21" t="inlineStr"/>
      <c r="O32" s="21" t="inlineStr"/>
    </row>
    <row r="33" ht="20" customHeight="1">
      <c r="A33" s="16" t="inlineStr">
        <is>
          <t>Anaerococcus</t>
        </is>
      </c>
      <c r="B33" s="16" t="inlineStr">
        <is>
          <t>bacteria</t>
        </is>
      </c>
      <c r="C33" s="16" t="inlineStr">
        <is>
          <t>genus</t>
        </is>
      </c>
      <c r="D33" s="16" t="inlineStr">
        <is>
          <t>dry eye disease</t>
        </is>
      </c>
      <c r="E33" s="26" t="inlineStr">
        <is>
          <t>unclear</t>
        </is>
      </c>
      <c r="F33" s="16" t="inlineStr">
        <is>
          <t>disease_vs_control</t>
        </is>
      </c>
      <c r="G33" s="16" t="inlineStr">
        <is>
          <t>other</t>
        </is>
      </c>
      <c r="H33" s="16" t="inlineStr">
        <is>
          <t>&lt; 0.01</t>
        </is>
      </c>
      <c r="I33" s="16" t="inlineStr">
        <is>
          <t>medium</t>
        </is>
      </c>
      <c r="J33" s="18" t="inlineStr">
        <is>
          <t>verified</t>
        </is>
      </c>
      <c r="K33" s="18" t="inlineStr">
        <is>
          <t>keep</t>
        </is>
      </c>
      <c r="L33" s="19" t="inlineStr">
        <is>
          <t>Univariate analysis detected the most significant differences in the abundance of MLE112, Lactobacillaceae, Streptococcus, Sphingobium, Caldicoprobacter and Anaerococcus (ANOVA, P &lt; 0.01, Fig. 3c)</t>
        </is>
      </c>
      <c r="M33" s="20" t="inlineStr"/>
      <c r="N33" s="21" t="inlineStr"/>
      <c r="O33" s="21" t="inlineStr"/>
    </row>
    <row r="34" ht="20" customHeight="1">
      <c r="A34" s="22" t="inlineStr">
        <is>
          <t>Azospirillum</t>
        </is>
      </c>
      <c r="B34" s="22" t="inlineStr">
        <is>
          <t>bacteria</t>
        </is>
      </c>
      <c r="C34" s="22" t="inlineStr">
        <is>
          <t>genus</t>
        </is>
      </c>
      <c r="D34" s="22" t="inlineStr">
        <is>
          <t>dry eye disease</t>
        </is>
      </c>
      <c r="E34" s="26" t="inlineStr">
        <is>
          <t>unclear</t>
        </is>
      </c>
      <c r="F34" s="22" t="inlineStr">
        <is>
          <t>disease_vs_control</t>
        </is>
      </c>
      <c r="G34" s="22" t="inlineStr">
        <is>
          <t>other</t>
        </is>
      </c>
      <c r="H34" s="22" t="inlineStr">
        <is>
          <t>&lt; 7.0e-18</t>
        </is>
      </c>
      <c r="I34" s="22" t="inlineStr">
        <is>
          <t>high</t>
        </is>
      </c>
      <c r="J34" s="23" t="inlineStr">
        <is>
          <t>verified</t>
        </is>
      </c>
      <c r="K34" s="23" t="inlineStr">
        <is>
          <t>keep</t>
        </is>
      </c>
      <c r="L34" s="24" t="inlineStr">
        <is>
          <t>negative binomial regression noted the greatest differences in the abundance of the genera Methylobacteriaceae, Pseudomonas, Azospirillum, Bradyrhizobium and Coriobacteriaceae (all with FDR-adjusted P &lt; 7.0 × 10−18)</t>
        </is>
      </c>
      <c r="M34" s="20" t="inlineStr"/>
      <c r="N34" s="21" t="inlineStr"/>
      <c r="O34" s="21" t="inlineStr"/>
    </row>
    <row r="35" ht="20" customHeight="1">
      <c r="A35" s="16" t="inlineStr">
        <is>
          <t>Coriobacteriaceae</t>
        </is>
      </c>
      <c r="B35" s="16" t="inlineStr">
        <is>
          <t>bacteria</t>
        </is>
      </c>
      <c r="C35" s="16" t="inlineStr">
        <is>
          <t>family</t>
        </is>
      </c>
      <c r="D35" s="16" t="inlineStr">
        <is>
          <t>dry eye disease</t>
        </is>
      </c>
      <c r="E35" s="26" t="inlineStr">
        <is>
          <t>unclear</t>
        </is>
      </c>
      <c r="F35" s="16" t="inlineStr">
        <is>
          <t>disease_vs_control</t>
        </is>
      </c>
      <c r="G35" s="16" t="inlineStr">
        <is>
          <t>other</t>
        </is>
      </c>
      <c r="H35" s="16" t="inlineStr">
        <is>
          <t>&lt; 7.0e-18</t>
        </is>
      </c>
      <c r="I35" s="16" t="inlineStr">
        <is>
          <t>high</t>
        </is>
      </c>
      <c r="J35" s="18" t="inlineStr">
        <is>
          <t>verified</t>
        </is>
      </c>
      <c r="K35" s="18" t="inlineStr">
        <is>
          <t>keep</t>
        </is>
      </c>
      <c r="L35" s="19" t="inlineStr">
        <is>
          <t>negative binomial regression noted the greatest differences in the abundance of the genera Methylobacteriaceae, Pseudomonas, Azospirillum, Bradyrhizobium and Coriobacteriaceae (all with FDR-adjusted P &lt; 7.0 × 10−18)</t>
        </is>
      </c>
      <c r="M35" s="20" t="inlineStr"/>
      <c r="N35" s="21" t="inlineStr"/>
      <c r="O35" s="21" t="inlineStr"/>
    </row>
    <row r="36" ht="20" customHeight="1">
      <c r="A36" s="22" t="inlineStr">
        <is>
          <t>Staphylococcus</t>
        </is>
      </c>
      <c r="B36" s="22" t="inlineStr">
        <is>
          <t>bacteria</t>
        </is>
      </c>
      <c r="C36" s="22" t="inlineStr">
        <is>
          <t>genus</t>
        </is>
      </c>
      <c r="D36" s="22" t="inlineStr">
        <is>
          <t>dry eye disease</t>
        </is>
      </c>
      <c r="E36" s="25" t="inlineStr">
        <is>
          <t>unchanged</t>
        </is>
      </c>
      <c r="F36" s="22" t="inlineStr">
        <is>
          <t>disease_vs_control</t>
        </is>
      </c>
      <c r="G36" s="22" t="inlineStr">
        <is>
          <t>other</t>
        </is>
      </c>
      <c r="H36" s="22" t="inlineStr"/>
      <c r="I36" s="22" t="inlineStr">
        <is>
          <t>high</t>
        </is>
      </c>
      <c r="J36" s="23" t="inlineStr">
        <is>
          <t>verified</t>
        </is>
      </c>
      <c r="K36" s="23" t="inlineStr">
        <is>
          <t>keep</t>
        </is>
      </c>
      <c r="L36" s="24" t="inlineStr">
        <is>
          <t>A more rigorous normalization performed on our dataset confirmed the reduction in Pseudomonas spp. but not in Staphylococcus spp.</t>
        </is>
      </c>
      <c r="M36" s="20" t="inlineStr"/>
      <c r="N36" s="21" t="inlineStr"/>
      <c r="O36" s="21" t="inlineStr"/>
    </row>
    <row r="37" ht="20" customHeight="1">
      <c r="A37" s="16" t="inlineStr">
        <is>
          <t>OPB58</t>
        </is>
      </c>
      <c r="B37" s="16" t="inlineStr">
        <is>
          <t>bacteria</t>
        </is>
      </c>
      <c r="C37" s="16" t="inlineStr">
        <is>
          <t>order</t>
        </is>
      </c>
      <c r="D37" s="16" t="inlineStr">
        <is>
          <t>dry eye disease</t>
        </is>
      </c>
      <c r="E37" s="27" t="inlineStr">
        <is>
          <t>decreased</t>
        </is>
      </c>
      <c r="F37" s="16" t="inlineStr">
        <is>
          <t>disease_vs_control</t>
        </is>
      </c>
      <c r="G37" s="16" t="inlineStr">
        <is>
          <t>other</t>
        </is>
      </c>
      <c r="H37" s="16" t="inlineStr"/>
      <c r="I37" s="16" t="inlineStr">
        <is>
          <t>medium</t>
        </is>
      </c>
      <c r="J37" s="18" t="inlineStr">
        <is>
          <t>verified</t>
        </is>
      </c>
      <c r="K37" s="18" t="inlineStr">
        <is>
          <t>keep_flagged</t>
        </is>
      </c>
      <c r="L37" s="19" t="inlineStr">
        <is>
          <t>discriminant analysis of principal components at the order level identified OPB58 and Bacteroidetes as important discriminators of the normal eye. In individuals with dry eye, additional orders enabled further discrimination, with Flavobacteriales, Alteromonadales and Actinomycetes, Anaeroplasmatales and Desulfuromonadales functioning as the primary discriminators</t>
        </is>
      </c>
      <c r="M37" s="20" t="inlineStr"/>
      <c r="N37" s="21" t="inlineStr"/>
      <c r="O37" s="21" t="inlineStr"/>
    </row>
    <row r="38" ht="20" customHeight="1">
      <c r="A38" s="22" t="inlineStr">
        <is>
          <t>Bacteroidetes</t>
        </is>
      </c>
      <c r="B38" s="22" t="inlineStr">
        <is>
          <t>bacteria</t>
        </is>
      </c>
      <c r="C38" s="22" t="inlineStr">
        <is>
          <t>phylum</t>
        </is>
      </c>
      <c r="D38" s="22" t="inlineStr">
        <is>
          <t>dry eye disease</t>
        </is>
      </c>
      <c r="E38" s="27" t="inlineStr">
        <is>
          <t>decreased</t>
        </is>
      </c>
      <c r="F38" s="22" t="inlineStr">
        <is>
          <t>disease_vs_control</t>
        </is>
      </c>
      <c r="G38" s="22" t="inlineStr">
        <is>
          <t>other</t>
        </is>
      </c>
      <c r="H38" s="22" t="inlineStr"/>
      <c r="I38" s="22" t="inlineStr">
        <is>
          <t>low</t>
        </is>
      </c>
      <c r="J38" s="23" t="inlineStr">
        <is>
          <t>verified</t>
        </is>
      </c>
      <c r="K38" s="23" t="inlineStr">
        <is>
          <t>keep_flagged</t>
        </is>
      </c>
      <c r="L38" s="24" t="inlineStr">
        <is>
          <t>discriminant analysis of principal components at the order level identified OPB58 and Bacteroidetes as important discriminators of the normal eye. In individuals with dry eye, additional orders enabled further discrimination, with Flavobacteriales, Alteromonadales and Actinomycetes, Anaeroplasmatales and Desulfuromonadales functioning as the primary discriminators</t>
        </is>
      </c>
      <c r="M38" s="20" t="inlineStr"/>
      <c r="N38" s="21" t="inlineStr"/>
      <c r="O38" s="21" t="inlineStr"/>
    </row>
    <row r="39" ht="20" customHeight="1">
      <c r="A39" s="16" t="inlineStr">
        <is>
          <t>Flavobacteriales</t>
        </is>
      </c>
      <c r="B39" s="16" t="inlineStr">
        <is>
          <t>bacteria</t>
        </is>
      </c>
      <c r="C39" s="16" t="inlineStr">
        <is>
          <t>order</t>
        </is>
      </c>
      <c r="D39" s="16" t="inlineStr">
        <is>
          <t>dry eye disease</t>
        </is>
      </c>
      <c r="E39" s="17" t="inlineStr">
        <is>
          <t>increased</t>
        </is>
      </c>
      <c r="F39" s="16" t="inlineStr">
        <is>
          <t>disease_vs_control</t>
        </is>
      </c>
      <c r="G39" s="16" t="inlineStr">
        <is>
          <t>other</t>
        </is>
      </c>
      <c r="H39" s="16" t="inlineStr"/>
      <c r="I39" s="16" t="inlineStr">
        <is>
          <t>medium</t>
        </is>
      </c>
      <c r="J39" s="18" t="inlineStr">
        <is>
          <t>verified</t>
        </is>
      </c>
      <c r="K39" s="18" t="inlineStr">
        <is>
          <t>keep</t>
        </is>
      </c>
      <c r="L39" s="19" t="inlineStr">
        <is>
          <t>discriminant analysis of principal components at the order level identified OPB58 and Bacteroidetes as important discriminators of the normal eye. In individuals with dry eye, additional orders enabled further discrimination, with Flavobacteriales, Alteromonadales and Actinomycetes, Anaeroplasmatales and Desulfuromonadales functioning as the primary discriminators</t>
        </is>
      </c>
      <c r="M39" s="20" t="inlineStr"/>
      <c r="N39" s="21" t="inlineStr"/>
      <c r="O39" s="21" t="inlineStr"/>
    </row>
    <row r="40" ht="20" customHeight="1">
      <c r="A40" s="22" t="inlineStr">
        <is>
          <t>Alteromonadales</t>
        </is>
      </c>
      <c r="B40" s="22" t="inlineStr">
        <is>
          <t>bacteria</t>
        </is>
      </c>
      <c r="C40" s="22" t="inlineStr">
        <is>
          <t>order</t>
        </is>
      </c>
      <c r="D40" s="22" t="inlineStr">
        <is>
          <t>dry eye disease</t>
        </is>
      </c>
      <c r="E40" s="17" t="inlineStr">
        <is>
          <t>increased</t>
        </is>
      </c>
      <c r="F40" s="22" t="inlineStr">
        <is>
          <t>disease_vs_control</t>
        </is>
      </c>
      <c r="G40" s="22" t="inlineStr">
        <is>
          <t>other</t>
        </is>
      </c>
      <c r="H40" s="22" t="inlineStr"/>
      <c r="I40" s="22" t="inlineStr">
        <is>
          <t>medium</t>
        </is>
      </c>
      <c r="J40" s="23" t="inlineStr">
        <is>
          <t>verified</t>
        </is>
      </c>
      <c r="K40" s="23" t="inlineStr">
        <is>
          <t>keep</t>
        </is>
      </c>
      <c r="L40" s="24" t="inlineStr">
        <is>
          <t>discriminant analysis of principal components at the order level identified OPB58 and Bacteroidetes as important discriminators of the normal eye. In individuals with dry eye, additional orders enabled further discrimination, with Flavobacteriales, Alteromonadales and Actinomycetes, Anaeroplasmatales and Desulfuromonadales functioning as the primary discriminators</t>
        </is>
      </c>
      <c r="M40" s="20" t="inlineStr"/>
      <c r="N40" s="21" t="inlineStr"/>
      <c r="O40" s="21" t="inlineStr"/>
    </row>
    <row r="41" ht="20" customHeight="1">
      <c r="A41" s="16" t="inlineStr">
        <is>
          <t>Actinomycetes</t>
        </is>
      </c>
      <c r="B41" s="16" t="inlineStr">
        <is>
          <t>bacteria</t>
        </is>
      </c>
      <c r="C41" s="16" t="inlineStr">
        <is>
          <t>class</t>
        </is>
      </c>
      <c r="D41" s="16" t="inlineStr">
        <is>
          <t>dry eye disease</t>
        </is>
      </c>
      <c r="E41" s="17" t="inlineStr">
        <is>
          <t>increased</t>
        </is>
      </c>
      <c r="F41" s="16" t="inlineStr">
        <is>
          <t>disease_vs_control</t>
        </is>
      </c>
      <c r="G41" s="16" t="inlineStr">
        <is>
          <t>other</t>
        </is>
      </c>
      <c r="H41" s="16" t="inlineStr"/>
      <c r="I41" s="16" t="inlineStr">
        <is>
          <t>low</t>
        </is>
      </c>
      <c r="J41" s="18" t="inlineStr">
        <is>
          <t>verified</t>
        </is>
      </c>
      <c r="K41" s="18" t="inlineStr">
        <is>
          <t>keep_flagged</t>
        </is>
      </c>
      <c r="L41" s="19" t="inlineStr">
        <is>
          <t>discriminant analysis of principal components at the order level identified OPB58 and Bacteroidetes as important discriminators of the normal eye. In individuals with dry eye, additional orders enabled further discrimination, with Flavobacteriales, Alteromonadales and Actinomycetes, Anaeroplasmatales and Desulfuromonadales functioning as the primary discriminators</t>
        </is>
      </c>
      <c r="M41" s="20" t="inlineStr"/>
      <c r="N41" s="21" t="inlineStr"/>
      <c r="O41" s="21" t="inlineStr"/>
    </row>
    <row r="42" ht="20" customHeight="1">
      <c r="A42" s="22" t="inlineStr">
        <is>
          <t>Desulfuromonadales</t>
        </is>
      </c>
      <c r="B42" s="22" t="inlineStr">
        <is>
          <t>bacteria</t>
        </is>
      </c>
      <c r="C42" s="22" t="inlineStr">
        <is>
          <t>order</t>
        </is>
      </c>
      <c r="D42" s="22" t="inlineStr">
        <is>
          <t>dry eye disease</t>
        </is>
      </c>
      <c r="E42" s="17" t="inlineStr">
        <is>
          <t>increased</t>
        </is>
      </c>
      <c r="F42" s="22" t="inlineStr">
        <is>
          <t>disease_vs_control</t>
        </is>
      </c>
      <c r="G42" s="22" t="inlineStr">
        <is>
          <t>other</t>
        </is>
      </c>
      <c r="H42" s="22" t="inlineStr"/>
      <c r="I42" s="22" t="inlineStr">
        <is>
          <t>medium</t>
        </is>
      </c>
      <c r="J42" s="23" t="inlineStr">
        <is>
          <t>verified</t>
        </is>
      </c>
      <c r="K42" s="23" t="inlineStr">
        <is>
          <t>keep</t>
        </is>
      </c>
      <c r="L42" s="24" t="inlineStr">
        <is>
          <t>discriminant analysis of principal components at the order level identified OPB58 and Bacteroidetes as important discriminators of the normal eye. In individuals with dry eye, additional orders enabled further discrimination, with Flavobacteriales, Alteromonadales and Actinomycetes, Anaeroplasmatales and Desulfuromonadales functioning as the primary discriminators</t>
        </is>
      </c>
      <c r="M42" s="20" t="inlineStr"/>
      <c r="N42" s="21" t="inlineStr"/>
      <c r="O42"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42" showDropDown="0" showInputMessage="0" showErrorMessage="0" allowBlank="1" type="list">
      <formula1>"approved,rejected,modified"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1128 — Fecal Microbiota Transplantation (FMT) From a Human at Low Risk for Alzheimer's Disease Improves Short-Term Recognition Memory and Increases Neuroinflammation in a 3xTg AD Mouse Model</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Parabacteroides</t>
        </is>
      </c>
      <c r="B3" s="16" t="inlineStr">
        <is>
          <t>bacteria</t>
        </is>
      </c>
      <c r="C3" s="16" t="inlineStr">
        <is>
          <t>genus</t>
        </is>
      </c>
      <c r="D3" s="16" t="inlineStr">
        <is>
          <t>Alzheimer's disease</t>
        </is>
      </c>
      <c r="E3" s="17" t="inlineStr">
        <is>
          <t>increased</t>
        </is>
      </c>
      <c r="F3" s="16" t="inlineStr">
        <is>
          <t>treatment_effect</t>
        </is>
      </c>
      <c r="G3" s="16" t="inlineStr">
        <is>
          <t>gut</t>
        </is>
      </c>
      <c r="H3" s="16" t="inlineStr">
        <is>
          <t>q&lt;0.02</t>
        </is>
      </c>
      <c r="I3" s="16" t="inlineStr">
        <is>
          <t>high</t>
        </is>
      </c>
      <c r="J3" s="18" t="inlineStr">
        <is>
          <t>verified</t>
        </is>
      </c>
      <c r="K3" s="18" t="inlineStr">
        <is>
          <t>keep</t>
        </is>
      </c>
      <c r="L3" s="19" t="inlineStr">
        <is>
          <t>Parabacteroides was increased in the APOEe2-FMT group and both Ligilactobacilus and Coprostanoligenes groups were specifically reduced in the AD-FMT group when compared to the mice-FMT group (Figure 3C).</t>
        </is>
      </c>
      <c r="M3" s="20" t="inlineStr"/>
      <c r="N3" s="21" t="inlineStr"/>
      <c r="O3" s="21" t="inlineStr"/>
    </row>
    <row r="4" ht="20" customHeight="1">
      <c r="A4" s="22" t="inlineStr">
        <is>
          <t>Prevotellaceae_UGC_001</t>
        </is>
      </c>
      <c r="B4" s="22" t="inlineStr">
        <is>
          <t>bacteria</t>
        </is>
      </c>
      <c r="C4" s="22" t="inlineStr">
        <is>
          <t>genus</t>
        </is>
      </c>
      <c r="D4" s="22" t="inlineStr">
        <is>
          <t>Alzheimer's disease</t>
        </is>
      </c>
      <c r="E4" s="17" t="inlineStr">
        <is>
          <t>increased</t>
        </is>
      </c>
      <c r="F4" s="22" t="inlineStr">
        <is>
          <t>treatment_effect</t>
        </is>
      </c>
      <c r="G4" s="22" t="inlineStr">
        <is>
          <t>gut</t>
        </is>
      </c>
      <c r="H4" s="22" t="inlineStr">
        <is>
          <t>p&lt;0.05</t>
        </is>
      </c>
      <c r="I4" s="22" t="inlineStr">
        <is>
          <t>high</t>
        </is>
      </c>
      <c r="J4" s="23" t="inlineStr">
        <is>
          <t>verified</t>
        </is>
      </c>
      <c r="K4" s="23" t="inlineStr">
        <is>
          <t>keep</t>
        </is>
      </c>
      <c r="L4" s="24" t="inlineStr">
        <is>
          <t>Biophila, Muribaculum, Parabacteroides, and Prevotellaceae_UGC_001 are positively associated, and Desulfovibrio, f_Ruminococcaceae g_uncultured, and g_Anaerotruncus are negatively associated with both neuroinflammation and APOEe2-FMT</t>
        </is>
      </c>
      <c r="M4" s="20" t="inlineStr"/>
      <c r="N4" s="21" t="inlineStr"/>
      <c r="O4" s="21" t="inlineStr"/>
    </row>
    <row r="5" ht="20" customHeight="1">
      <c r="A5" s="16" t="inlineStr">
        <is>
          <t>Desulfovibrio</t>
        </is>
      </c>
      <c r="B5" s="16" t="inlineStr">
        <is>
          <t>bacteria</t>
        </is>
      </c>
      <c r="C5" s="16" t="inlineStr">
        <is>
          <t>genus</t>
        </is>
      </c>
      <c r="D5" s="16" t="inlineStr">
        <is>
          <t>Alzheimer's disease</t>
        </is>
      </c>
      <c r="E5" s="27" t="inlineStr">
        <is>
          <t>decreased</t>
        </is>
      </c>
      <c r="F5" s="16" t="inlineStr">
        <is>
          <t>treatment_effect</t>
        </is>
      </c>
      <c r="G5" s="16" t="inlineStr">
        <is>
          <t>gut</t>
        </is>
      </c>
      <c r="H5" s="16" t="inlineStr">
        <is>
          <t>q&lt;0.02</t>
        </is>
      </c>
      <c r="I5" s="16" t="inlineStr">
        <is>
          <t>high</t>
        </is>
      </c>
      <c r="J5" s="18" t="inlineStr">
        <is>
          <t>verified</t>
        </is>
      </c>
      <c r="K5" s="18" t="inlineStr">
        <is>
          <t>keep</t>
        </is>
      </c>
      <c r="L5" s="19" t="inlineStr">
        <is>
          <t>Rikenella, Eggerthellaceae_uncultured, and Desulfovibrio genera were reduced only in the 'protected' FMT (APOEe2 and young)</t>
        </is>
      </c>
      <c r="M5" s="20" t="inlineStr"/>
      <c r="N5" s="21" t="inlineStr"/>
      <c r="O5" s="21" t="inlineStr"/>
    </row>
    <row r="6" ht="20" customHeight="1">
      <c r="A6" s="22" t="inlineStr">
        <is>
          <t>Rikenella</t>
        </is>
      </c>
      <c r="B6" s="22" t="inlineStr">
        <is>
          <t>bacteria</t>
        </is>
      </c>
      <c r="C6" s="22" t="inlineStr">
        <is>
          <t>genus</t>
        </is>
      </c>
      <c r="D6" s="22" t="inlineStr">
        <is>
          <t>Alzheimer's disease</t>
        </is>
      </c>
      <c r="E6" s="27" t="inlineStr">
        <is>
          <t>decreased</t>
        </is>
      </c>
      <c r="F6" s="22" t="inlineStr">
        <is>
          <t>treatment_effect</t>
        </is>
      </c>
      <c r="G6" s="22" t="inlineStr">
        <is>
          <t>gut</t>
        </is>
      </c>
      <c r="H6" s="22" t="inlineStr">
        <is>
          <t>q&lt;0.02</t>
        </is>
      </c>
      <c r="I6" s="22" t="inlineStr">
        <is>
          <t>high</t>
        </is>
      </c>
      <c r="J6" s="23" t="inlineStr">
        <is>
          <t>verified</t>
        </is>
      </c>
      <c r="K6" s="23" t="inlineStr">
        <is>
          <t>keep</t>
        </is>
      </c>
      <c r="L6" s="24" t="inlineStr">
        <is>
          <t>Rikenella, Eggerthellaceae_uncultured, and Desulfovibrio genera were reduced only in the 'protected' FMT (APOEe2 and young)</t>
        </is>
      </c>
      <c r="M6" s="20" t="inlineStr"/>
      <c r="N6" s="21" t="inlineStr"/>
      <c r="O6" s="21" t="inlineStr"/>
    </row>
    <row r="7" ht="20" customHeight="1">
      <c r="A7" s="16" t="inlineStr">
        <is>
          <t>Eggerthellaceae_uncultured</t>
        </is>
      </c>
      <c r="B7" s="16" t="inlineStr">
        <is>
          <t>bacteria</t>
        </is>
      </c>
      <c r="C7" s="16" t="inlineStr">
        <is>
          <t>genus</t>
        </is>
      </c>
      <c r="D7" s="16" t="inlineStr">
        <is>
          <t>Alzheimer's disease</t>
        </is>
      </c>
      <c r="E7" s="27" t="inlineStr">
        <is>
          <t>decreased</t>
        </is>
      </c>
      <c r="F7" s="16" t="inlineStr">
        <is>
          <t>treatment_effect</t>
        </is>
      </c>
      <c r="G7" s="16" t="inlineStr">
        <is>
          <t>gut</t>
        </is>
      </c>
      <c r="H7" s="16" t="inlineStr">
        <is>
          <t>q&lt;0.02</t>
        </is>
      </c>
      <c r="I7" s="16" t="inlineStr">
        <is>
          <t>high</t>
        </is>
      </c>
      <c r="J7" s="18" t="inlineStr">
        <is>
          <t>verified</t>
        </is>
      </c>
      <c r="K7" s="18" t="inlineStr">
        <is>
          <t>keep</t>
        </is>
      </c>
      <c r="L7" s="19" t="inlineStr">
        <is>
          <t>Rikenella, Eggerthellaceae_uncultured, and Desulfovibrio genera were reduced only in the 'protected' FMT (APOEe2 and young)</t>
        </is>
      </c>
      <c r="M7" s="20" t="inlineStr"/>
      <c r="N7" s="21" t="inlineStr"/>
      <c r="O7" s="21" t="inlineStr"/>
    </row>
    <row r="8" ht="20" customHeight="1">
      <c r="A8" s="22" t="inlineStr">
        <is>
          <t>Ligilactobacillus</t>
        </is>
      </c>
      <c r="B8" s="22" t="inlineStr">
        <is>
          <t>bacteria</t>
        </is>
      </c>
      <c r="C8" s="22" t="inlineStr">
        <is>
          <t>genus</t>
        </is>
      </c>
      <c r="D8" s="22" t="inlineStr">
        <is>
          <t>Alzheimer's disease</t>
        </is>
      </c>
      <c r="E8" s="27" t="inlineStr">
        <is>
          <t>decreased</t>
        </is>
      </c>
      <c r="F8" s="22" t="inlineStr">
        <is>
          <t>treatment_effect</t>
        </is>
      </c>
      <c r="G8" s="22" t="inlineStr">
        <is>
          <t>gut</t>
        </is>
      </c>
      <c r="H8" s="22" t="inlineStr">
        <is>
          <t>q&lt;0.02</t>
        </is>
      </c>
      <c r="I8" s="22" t="inlineStr">
        <is>
          <t>high</t>
        </is>
      </c>
      <c r="J8" s="23" t="inlineStr">
        <is>
          <t>verified</t>
        </is>
      </c>
      <c r="K8" s="23" t="inlineStr">
        <is>
          <t>keep</t>
        </is>
      </c>
      <c r="L8" s="24" t="inlineStr">
        <is>
          <t>both Ligilactobacilus and Coprostanoligenes groups were specifically reduced in the AD-FMT group when compared to the mice-FMT group (Figure 3C)</t>
        </is>
      </c>
      <c r="M8" s="20" t="inlineStr"/>
      <c r="N8" s="21" t="inlineStr"/>
      <c r="O8" s="21" t="inlineStr"/>
    </row>
    <row r="9" ht="20" customHeight="1">
      <c r="A9" s="16" t="inlineStr">
        <is>
          <t>Coprostanoligenes group</t>
        </is>
      </c>
      <c r="B9" s="16" t="inlineStr">
        <is>
          <t>bacteria</t>
        </is>
      </c>
      <c r="C9" s="16" t="inlineStr">
        <is>
          <t>genus</t>
        </is>
      </c>
      <c r="D9" s="16" t="inlineStr">
        <is>
          <t>Alzheimer's disease</t>
        </is>
      </c>
      <c r="E9" s="27" t="inlineStr">
        <is>
          <t>decreased</t>
        </is>
      </c>
      <c r="F9" s="16" t="inlineStr">
        <is>
          <t>treatment_effect</t>
        </is>
      </c>
      <c r="G9" s="16" t="inlineStr">
        <is>
          <t>gut</t>
        </is>
      </c>
      <c r="H9" s="16" t="inlineStr">
        <is>
          <t>q&lt;0.02</t>
        </is>
      </c>
      <c r="I9" s="16" t="inlineStr">
        <is>
          <t>high</t>
        </is>
      </c>
      <c r="J9" s="18" t="inlineStr">
        <is>
          <t>verified</t>
        </is>
      </c>
      <c r="K9" s="18" t="inlineStr">
        <is>
          <t>keep</t>
        </is>
      </c>
      <c r="L9" s="19" t="inlineStr">
        <is>
          <t>both Ligilactobacilus and Coprostanoligenes groups were specifically reduced in the AD-FMT group when compared to the mice-FMT group (Figure 3C)</t>
        </is>
      </c>
      <c r="M9" s="20" t="inlineStr"/>
      <c r="N9" s="21" t="inlineStr"/>
      <c r="O9" s="21" t="inlineStr"/>
    </row>
    <row r="10" ht="20" customHeight="1">
      <c r="A10" s="22" t="inlineStr">
        <is>
          <t>Phascolactobacterium</t>
        </is>
      </c>
      <c r="B10" s="22" t="inlineStr">
        <is>
          <t>bacteria</t>
        </is>
      </c>
      <c r="C10" s="22" t="inlineStr">
        <is>
          <t>genus</t>
        </is>
      </c>
      <c r="D10" s="22" t="inlineStr">
        <is>
          <t>Alzheimer's disease</t>
        </is>
      </c>
      <c r="E10" s="17" t="inlineStr">
        <is>
          <t>increased</t>
        </is>
      </c>
      <c r="F10" s="22" t="inlineStr">
        <is>
          <t>treatment_effect</t>
        </is>
      </c>
      <c r="G10" s="22" t="inlineStr">
        <is>
          <t>gut</t>
        </is>
      </c>
      <c r="H10" s="22" t="inlineStr">
        <is>
          <t>p&lt;0.05</t>
        </is>
      </c>
      <c r="I10" s="22" t="inlineStr">
        <is>
          <t>high</t>
        </is>
      </c>
      <c r="J10" s="23" t="inlineStr">
        <is>
          <t>verified</t>
        </is>
      </c>
      <c r="K10" s="23" t="inlineStr">
        <is>
          <t>keep</t>
        </is>
      </c>
      <c r="L10" s="24" t="inlineStr">
        <is>
          <t>Phascolactobacterium was significantly associated with Young-FMT when compared to both mice and AD-FMT</t>
        </is>
      </c>
      <c r="M10" s="20" t="inlineStr"/>
      <c r="N10" s="21" t="inlineStr"/>
      <c r="O10" s="21" t="inlineStr"/>
    </row>
    <row r="11" ht="20" customHeight="1">
      <c r="A11" s="16" t="inlineStr">
        <is>
          <t>Biophila</t>
        </is>
      </c>
      <c r="B11" s="16" t="inlineStr">
        <is>
          <t>bacteria</t>
        </is>
      </c>
      <c r="C11" s="16" t="inlineStr">
        <is>
          <t>genus</t>
        </is>
      </c>
      <c r="D11" s="16" t="inlineStr">
        <is>
          <t>Alzheimer's disease</t>
        </is>
      </c>
      <c r="E11" s="17" t="inlineStr">
        <is>
          <t>increased</t>
        </is>
      </c>
      <c r="F11" s="16" t="inlineStr">
        <is>
          <t>treatment_effect</t>
        </is>
      </c>
      <c r="G11" s="16" t="inlineStr">
        <is>
          <t>gut</t>
        </is>
      </c>
      <c r="H11" s="16" t="inlineStr">
        <is>
          <t>p&lt;0.05</t>
        </is>
      </c>
      <c r="I11" s="16" t="inlineStr">
        <is>
          <t>low</t>
        </is>
      </c>
      <c r="J11" s="18" t="inlineStr">
        <is>
          <t>verified</t>
        </is>
      </c>
      <c r="K11" s="18" t="inlineStr">
        <is>
          <t>keep_flagged</t>
        </is>
      </c>
      <c r="L11" s="19" t="inlineStr">
        <is>
          <t>Biophila, Muribaculum, Parabacteroides, and Prevotellaceae_UGC_001 are positively associated, and Desulfovibrio, f_Ruminococcaceae g_uncultured, and g_Anaerotruncus are negatively associated with both neuroinflammation and APOEe2-FMT</t>
        </is>
      </c>
      <c r="M11" s="20" t="inlineStr"/>
      <c r="N11" s="21" t="inlineStr"/>
      <c r="O11" s="21" t="inlineStr"/>
    </row>
    <row r="12" ht="20" customHeight="1">
      <c r="A12" s="22" t="inlineStr">
        <is>
          <t>Muribaculum</t>
        </is>
      </c>
      <c r="B12" s="22" t="inlineStr">
        <is>
          <t>bacteria</t>
        </is>
      </c>
      <c r="C12" s="22" t="inlineStr">
        <is>
          <t>genus</t>
        </is>
      </c>
      <c r="D12" s="22" t="inlineStr">
        <is>
          <t>Alzheimer's disease</t>
        </is>
      </c>
      <c r="E12" s="17" t="inlineStr">
        <is>
          <t>increased</t>
        </is>
      </c>
      <c r="F12" s="22" t="inlineStr">
        <is>
          <t>treatment_effect</t>
        </is>
      </c>
      <c r="G12" s="22" t="inlineStr">
        <is>
          <t>gut</t>
        </is>
      </c>
      <c r="H12" s="22" t="inlineStr">
        <is>
          <t>p&lt;0.05</t>
        </is>
      </c>
      <c r="I12" s="22" t="inlineStr">
        <is>
          <t>medium</t>
        </is>
      </c>
      <c r="J12" s="23" t="inlineStr">
        <is>
          <t>verified</t>
        </is>
      </c>
      <c r="K12" s="23" t="inlineStr">
        <is>
          <t>keep</t>
        </is>
      </c>
      <c r="L12" s="24" t="inlineStr">
        <is>
          <t>Biophila, Muribaculum, Parabacteroides, and Prevotellaceae_UGC_001 are positively associated, and Desulfovibrio, f_Ruminococcaceae g_uncultured, and g_Anaerotruncus are negatively associated with both neuroinflammation and APOEe2-FMT</t>
        </is>
      </c>
      <c r="M12" s="20" t="inlineStr"/>
      <c r="N12" s="21" t="inlineStr"/>
      <c r="O12" s="21" t="inlineStr"/>
    </row>
    <row r="13" ht="20" customHeight="1">
      <c r="A13" s="16" t="inlineStr">
        <is>
          <t>f_Ruminococcaceae g_uncultured</t>
        </is>
      </c>
      <c r="B13" s="16" t="inlineStr">
        <is>
          <t>bacteria</t>
        </is>
      </c>
      <c r="C13" s="16" t="inlineStr">
        <is>
          <t>genus</t>
        </is>
      </c>
      <c r="D13" s="16" t="inlineStr">
        <is>
          <t>Alzheimer's disease</t>
        </is>
      </c>
      <c r="E13" s="27" t="inlineStr">
        <is>
          <t>decreased</t>
        </is>
      </c>
      <c r="F13" s="16" t="inlineStr">
        <is>
          <t>treatment_effect</t>
        </is>
      </c>
      <c r="G13" s="16" t="inlineStr">
        <is>
          <t>gut</t>
        </is>
      </c>
      <c r="H13" s="16" t="inlineStr">
        <is>
          <t>p&lt;0.05</t>
        </is>
      </c>
      <c r="I13" s="16" t="inlineStr">
        <is>
          <t>medium</t>
        </is>
      </c>
      <c r="J13" s="18" t="inlineStr">
        <is>
          <t>verified</t>
        </is>
      </c>
      <c r="K13" s="18" t="inlineStr">
        <is>
          <t>keep</t>
        </is>
      </c>
      <c r="L13" s="19" t="inlineStr">
        <is>
          <t>Biophila, Muribaculum, Parabacteroides, and Prevotellaceae_UGC_001 are positively associated, and Desulfovibrio, f_Ruminococcaceae g_uncultured, and g_Anaerotruncus are negatively associated with both neuroinflammation and APOEe2-FMT</t>
        </is>
      </c>
      <c r="M13" s="20" t="inlineStr"/>
      <c r="N13" s="21" t="inlineStr"/>
      <c r="O13" s="21" t="inlineStr"/>
    </row>
    <row r="14" ht="20" customHeight="1">
      <c r="A14" s="22" t="inlineStr">
        <is>
          <t>Anaerotruncus</t>
        </is>
      </c>
      <c r="B14" s="22" t="inlineStr">
        <is>
          <t>bacteria</t>
        </is>
      </c>
      <c r="C14" s="22" t="inlineStr">
        <is>
          <t>genus</t>
        </is>
      </c>
      <c r="D14" s="22" t="inlineStr">
        <is>
          <t>Alzheimer's disease</t>
        </is>
      </c>
      <c r="E14" s="27" t="inlineStr">
        <is>
          <t>decreased</t>
        </is>
      </c>
      <c r="F14" s="22" t="inlineStr">
        <is>
          <t>treatment_effect</t>
        </is>
      </c>
      <c r="G14" s="22" t="inlineStr">
        <is>
          <t>gut</t>
        </is>
      </c>
      <c r="H14" s="22" t="inlineStr">
        <is>
          <t>p&lt;0.05</t>
        </is>
      </c>
      <c r="I14" s="22" t="inlineStr">
        <is>
          <t>medium</t>
        </is>
      </c>
      <c r="J14" s="23" t="inlineStr">
        <is>
          <t>verified</t>
        </is>
      </c>
      <c r="K14" s="23" t="inlineStr">
        <is>
          <t>keep</t>
        </is>
      </c>
      <c r="L14" s="24" t="inlineStr">
        <is>
          <t>Biophila, Muribaculum, Parabacteroides, and Prevotellaceae_UGC_001 are positively associated, and Desulfovibrio, f_Ruminococcaceae g_uncultured, and g_Anaerotruncus are negatively associated with both neuroinflammation and APOEe2-FMT</t>
        </is>
      </c>
      <c r="M14" s="20" t="inlineStr"/>
      <c r="N14" s="21" t="inlineStr"/>
      <c r="O14"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4" showDropDown="0" showInputMessage="0" showErrorMessage="0" allowBlank="1" type="list">
      <formula1>"approved,rejected,modified"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1220 — Comparative analysis of the bronchoalveolar microbiome in Portuguese patients with different chronic lung disorders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Streptococcus</t>
        </is>
      </c>
      <c r="B3" s="16" t="inlineStr">
        <is>
          <t>bacteria</t>
        </is>
      </c>
      <c r="C3" s="16" t="inlineStr">
        <is>
          <t>genus</t>
        </is>
      </c>
      <c r="D3" s="16" t="inlineStr">
        <is>
          <t>lung cancer</t>
        </is>
      </c>
      <c r="E3" s="17" t="inlineStr">
        <is>
          <t>increased</t>
        </is>
      </c>
      <c r="F3" s="16" t="inlineStr">
        <is>
          <t>disease_vs_control</t>
        </is>
      </c>
      <c r="G3" s="16" t="inlineStr">
        <is>
          <t>lung</t>
        </is>
      </c>
      <c r="H3" s="16" t="inlineStr">
        <is>
          <t>0.03852</t>
        </is>
      </c>
      <c r="I3" s="16" t="inlineStr">
        <is>
          <t>high</t>
        </is>
      </c>
      <c r="J3" s="18" t="inlineStr">
        <is>
          <t>verified</t>
        </is>
      </c>
      <c r="K3" s="18" t="inlineStr">
        <is>
          <t>keep</t>
        </is>
      </c>
      <c r="L3" s="19" t="inlineStr">
        <is>
          <t>only Streptococcus diverged between LC and non-LC groups (Wilcoxon rank sum test; p value = 0. 03852; Cohen's dS = 0. 30)</t>
        </is>
      </c>
      <c r="M3" s="20" t="inlineStr"/>
      <c r="N3" s="21" t="inlineStr"/>
      <c r="O3" s="21" t="inlineStr"/>
    </row>
    <row r="4" ht="20" customHeight="1">
      <c r="A4" s="22" t="inlineStr">
        <is>
          <t>Prevotella</t>
        </is>
      </c>
      <c r="B4" s="22" t="inlineStr">
        <is>
          <t>bacteria</t>
        </is>
      </c>
      <c r="C4" s="22" t="inlineStr">
        <is>
          <t>genus</t>
        </is>
      </c>
      <c r="D4" s="22" t="inlineStr">
        <is>
          <t>lung cancer</t>
        </is>
      </c>
      <c r="E4" s="17" t="inlineStr">
        <is>
          <t>increased</t>
        </is>
      </c>
      <c r="F4" s="22" t="inlineStr">
        <is>
          <t>disease_vs_control</t>
        </is>
      </c>
      <c r="G4" s="22" t="inlineStr">
        <is>
          <t>lung</t>
        </is>
      </c>
      <c r="H4" s="22" t="inlineStr">
        <is>
          <t>0.04405</t>
        </is>
      </c>
      <c r="I4" s="22" t="inlineStr">
        <is>
          <t>high</t>
        </is>
      </c>
      <c r="J4" s="23" t="inlineStr">
        <is>
          <t>verified</t>
        </is>
      </c>
      <c r="K4" s="23" t="inlineStr">
        <is>
          <t>keep_flagged</t>
        </is>
      </c>
      <c r="L4" s="24" t="inlineStr">
        <is>
          <t>Prevotella proportions separated LC* from ILD cases (Wilcoxon rank sum test;p value = 0. 04405; Cohen's dS = 0. 65)</t>
        </is>
      </c>
      <c r="M4" s="20" t="inlineStr"/>
      <c r="N4" s="21" t="inlineStr"/>
      <c r="O4" s="21" t="inlineStr"/>
    </row>
    <row r="5" ht="20" customHeight="1">
      <c r="A5" s="16" t="inlineStr">
        <is>
          <t>Prevotella</t>
        </is>
      </c>
      <c r="B5" s="16" t="inlineStr">
        <is>
          <t>bacteria</t>
        </is>
      </c>
      <c r="C5" s="16" t="inlineStr">
        <is>
          <t>genus</t>
        </is>
      </c>
      <c r="D5" s="16" t="inlineStr">
        <is>
          <t>interstitial lung disease</t>
        </is>
      </c>
      <c r="E5" s="27" t="inlineStr">
        <is>
          <t>decreased</t>
        </is>
      </c>
      <c r="F5" s="16" t="inlineStr">
        <is>
          <t>disease_vs_control</t>
        </is>
      </c>
      <c r="G5" s="16" t="inlineStr">
        <is>
          <t>lung</t>
        </is>
      </c>
      <c r="H5" s="16" t="inlineStr">
        <is>
          <t>0.04405</t>
        </is>
      </c>
      <c r="I5" s="16" t="inlineStr">
        <is>
          <t>high</t>
        </is>
      </c>
      <c r="J5" s="18" t="inlineStr">
        <is>
          <t>verified</t>
        </is>
      </c>
      <c r="K5" s="18" t="inlineStr">
        <is>
          <t>keep_flagged</t>
        </is>
      </c>
      <c r="L5" s="19" t="inlineStr">
        <is>
          <t>In our study, we observed a decreased prevalence of Prevotella in the ILD cohort, but a higher prevalence in LC*</t>
        </is>
      </c>
      <c r="M5" s="20" t="inlineStr"/>
      <c r="N5" s="21" t="inlineStr"/>
      <c r="O5" s="21" t="inlineStr"/>
    </row>
    <row r="6" ht="20" customHeight="1">
      <c r="A6" s="22" t="inlineStr">
        <is>
          <t>Haemophilus</t>
        </is>
      </c>
      <c r="B6" s="22" t="inlineStr">
        <is>
          <t>bacteria</t>
        </is>
      </c>
      <c r="C6" s="22" t="inlineStr">
        <is>
          <t>genus</t>
        </is>
      </c>
      <c r="D6" s="22" t="inlineStr">
        <is>
          <t>chronic obstructive pulmonary disease</t>
        </is>
      </c>
      <c r="E6" s="17" t="inlineStr">
        <is>
          <t>increased</t>
        </is>
      </c>
      <c r="F6" s="22" t="inlineStr">
        <is>
          <t>disease_vs_control</t>
        </is>
      </c>
      <c r="G6" s="22" t="inlineStr">
        <is>
          <t>lung</t>
        </is>
      </c>
      <c r="H6" s="22" t="inlineStr">
        <is>
          <t>0.005107</t>
        </is>
      </c>
      <c r="I6" s="22" t="inlineStr">
        <is>
          <t>high</t>
        </is>
      </c>
      <c r="J6" s="23" t="inlineStr">
        <is>
          <t>verified</t>
        </is>
      </c>
      <c r="K6" s="23" t="inlineStr">
        <is>
          <t>keep</t>
        </is>
      </c>
      <c r="L6" s="24" t="inlineStr">
        <is>
          <t>Haemophilus also varied significantly in the ILD versus COPD comparison (Wilcoxon rank sum test; p value = 0. 005107; Cohen's dS = 0. 74)</t>
        </is>
      </c>
      <c r="M6" s="20" t="inlineStr"/>
      <c r="N6" s="21" t="inlineStr"/>
      <c r="O6" s="21" t="inlineStr"/>
    </row>
    <row r="7" ht="20" customHeight="1">
      <c r="A7" s="16" t="inlineStr">
        <is>
          <t>Haemophilus</t>
        </is>
      </c>
      <c r="B7" s="16" t="inlineStr">
        <is>
          <t>bacteria</t>
        </is>
      </c>
      <c r="C7" s="16" t="inlineStr">
        <is>
          <t>genus</t>
        </is>
      </c>
      <c r="D7" s="16" t="inlineStr">
        <is>
          <t>interstitial lung disease</t>
        </is>
      </c>
      <c r="E7" s="27" t="inlineStr">
        <is>
          <t>decreased</t>
        </is>
      </c>
      <c r="F7" s="16" t="inlineStr">
        <is>
          <t>disease_vs_control</t>
        </is>
      </c>
      <c r="G7" s="16" t="inlineStr">
        <is>
          <t>lung</t>
        </is>
      </c>
      <c r="H7" s="16" t="inlineStr">
        <is>
          <t>0.005107</t>
        </is>
      </c>
      <c r="I7" s="16" t="inlineStr">
        <is>
          <t>high</t>
        </is>
      </c>
      <c r="J7" s="18" t="inlineStr">
        <is>
          <t>verified</t>
        </is>
      </c>
      <c r="K7" s="18" t="inlineStr">
        <is>
          <t>keep_flagged</t>
        </is>
      </c>
      <c r="L7" s="19" t="inlineStr">
        <is>
          <t>Haemophilus was enhanced in COPD versus ILD</t>
        </is>
      </c>
      <c r="M7" s="20" t="inlineStr"/>
      <c r="N7" s="21" t="inlineStr"/>
      <c r="O7" s="21" t="inlineStr"/>
    </row>
    <row r="8" ht="20" customHeight="1">
      <c r="A8" s="22" t="inlineStr">
        <is>
          <t>Pseudomonas</t>
        </is>
      </c>
      <c r="B8" s="22" t="inlineStr">
        <is>
          <t>bacteria</t>
        </is>
      </c>
      <c r="C8" s="22" t="inlineStr">
        <is>
          <t>genus</t>
        </is>
      </c>
      <c r="D8" s="22" t="inlineStr">
        <is>
          <t>interstitial lung disease</t>
        </is>
      </c>
      <c r="E8" s="17" t="inlineStr">
        <is>
          <t>increased</t>
        </is>
      </c>
      <c r="F8" s="22" t="inlineStr">
        <is>
          <t>disease_vs_control</t>
        </is>
      </c>
      <c r="G8" s="22" t="inlineStr">
        <is>
          <t>lung</t>
        </is>
      </c>
      <c r="H8" s="22" t="inlineStr"/>
      <c r="I8" s="22" t="inlineStr">
        <is>
          <t>low</t>
        </is>
      </c>
      <c r="J8" s="23" t="inlineStr">
        <is>
          <t>verified</t>
        </is>
      </c>
      <c r="K8" s="23" t="inlineStr">
        <is>
          <t>keep_flagged</t>
        </is>
      </c>
      <c r="L8" s="24" t="inlineStr">
        <is>
          <t>The genera Pseudomonas and Staphylococcus previously described as associated with a worse IPF prognosis tended to be higher in our ILD cases compared to COPD and LC*, but this was not significant</t>
        </is>
      </c>
      <c r="M8" s="20" t="inlineStr"/>
      <c r="N8" s="21" t="inlineStr"/>
      <c r="O8" s="21" t="inlineStr"/>
    </row>
    <row r="9" ht="20" customHeight="1">
      <c r="A9" s="16" t="inlineStr">
        <is>
          <t>Staphylococcus</t>
        </is>
      </c>
      <c r="B9" s="16" t="inlineStr">
        <is>
          <t>bacteria</t>
        </is>
      </c>
      <c r="C9" s="16" t="inlineStr">
        <is>
          <t>genus</t>
        </is>
      </c>
      <c r="D9" s="16" t="inlineStr">
        <is>
          <t>interstitial lung disease</t>
        </is>
      </c>
      <c r="E9" s="17" t="inlineStr">
        <is>
          <t>increased</t>
        </is>
      </c>
      <c r="F9" s="16" t="inlineStr">
        <is>
          <t>disease_vs_control</t>
        </is>
      </c>
      <c r="G9" s="16" t="inlineStr">
        <is>
          <t>lung</t>
        </is>
      </c>
      <c r="H9" s="16" t="inlineStr"/>
      <c r="I9" s="16" t="inlineStr">
        <is>
          <t>low</t>
        </is>
      </c>
      <c r="J9" s="18" t="inlineStr">
        <is>
          <t>verified</t>
        </is>
      </c>
      <c r="K9" s="18" t="inlineStr">
        <is>
          <t>keep_flagged</t>
        </is>
      </c>
      <c r="L9" s="19" t="inlineStr">
        <is>
          <t>The genera Pseudomonas and Staphylococcus previously described as associated with a worse IPF prognosis tended to be higher in our ILD cases compared to COPD and LC*, but this was not significant</t>
        </is>
      </c>
      <c r="M9" s="20" t="inlineStr"/>
      <c r="N9" s="21" t="inlineStr"/>
      <c r="O9"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9" showDropDown="0" showInputMessage="0" showErrorMessage="0" allowBlank="1" type="list">
      <formula1>"approved,rejected,modified"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1240 — Whole Genome Profiling of Lung Microbiome in Solid Organ Transplant Recipients Reveals Virus Involved Microecology May Worsen Prognosis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Pneumocystis jirovecii</t>
        </is>
      </c>
      <c r="B3" s="16" t="inlineStr">
        <is>
          <t>fungi</t>
        </is>
      </c>
      <c r="C3" s="16" t="inlineStr">
        <is>
          <t>species</t>
        </is>
      </c>
      <c r="D3" s="16" t="inlineStr">
        <is>
          <t>respiratory infection in solid organ transplant recipients</t>
        </is>
      </c>
      <c r="E3" s="17" t="inlineStr">
        <is>
          <t>increased</t>
        </is>
      </c>
      <c r="F3" s="16" t="inlineStr">
        <is>
          <t>disease_vs_control</t>
        </is>
      </c>
      <c r="G3" s="16" t="inlineStr">
        <is>
          <t>lung</t>
        </is>
      </c>
      <c r="H3" s="16" t="inlineStr"/>
      <c r="I3" s="16" t="inlineStr">
        <is>
          <t>medium</t>
        </is>
      </c>
      <c r="J3" s="18" t="inlineStr">
        <is>
          <t>verified</t>
        </is>
      </c>
      <c r="K3" s="18" t="inlineStr">
        <is>
          <t>keep</t>
        </is>
      </c>
      <c r="L3" s="19" t="inlineStr">
        <is>
          <t>A further comparison of species of microorganisms in the virus-positive group and the virus-negative group showed significant differences in the top 20 lung species (such as Pneumocystis jirovecii, Moraxella osloensis, CMV) and other species beyond the top 20</t>
        </is>
      </c>
      <c r="M3" s="20" t="inlineStr"/>
      <c r="N3" s="21" t="inlineStr"/>
      <c r="O3" s="21" t="inlineStr"/>
    </row>
    <row r="4" ht="20" customHeight="1">
      <c r="A4" s="22" t="inlineStr">
        <is>
          <t>Pneumocystis jirovecii</t>
        </is>
      </c>
      <c r="B4" s="22" t="inlineStr">
        <is>
          <t>fungi</t>
        </is>
      </c>
      <c r="C4" s="22" t="inlineStr">
        <is>
          <t>species</t>
        </is>
      </c>
      <c r="D4" s="22" t="inlineStr">
        <is>
          <t>respiratory infection in solid organ transplant recipients</t>
        </is>
      </c>
      <c r="E4" s="17" t="inlineStr">
        <is>
          <t>increased</t>
        </is>
      </c>
      <c r="F4" s="22" t="inlineStr">
        <is>
          <t>disease_vs_control</t>
        </is>
      </c>
      <c r="G4" s="22" t="inlineStr">
        <is>
          <t>lung</t>
        </is>
      </c>
      <c r="H4" s="22" t="inlineStr"/>
      <c r="I4" s="22" t="inlineStr">
        <is>
          <t>medium</t>
        </is>
      </c>
      <c r="J4" s="23" t="inlineStr">
        <is>
          <t>verified</t>
        </is>
      </c>
      <c r="K4" s="23" t="inlineStr">
        <is>
          <t>keep</t>
        </is>
      </c>
      <c r="L4" s="24" t="inlineStr">
        <is>
          <t>Microbial analysis showed significant differences in top-20 species (such as Pneumocystis jirovecii and Veillonella parvula) and other species... Our results showed that compared with the corresponding negative group, PJP was significantly different in the virus-positive and CMV-positive groups... 71.4% (10/14) of CMV-positive cases were associated with PJP infection</t>
        </is>
      </c>
      <c r="M4" s="20" t="inlineStr"/>
      <c r="N4" s="21" t="inlineStr"/>
      <c r="O4" s="21" t="inlineStr"/>
    </row>
    <row r="5" ht="20" customHeight="1">
      <c r="A5" s="16" t="inlineStr">
        <is>
          <t>Moraxella osloensis</t>
        </is>
      </c>
      <c r="B5" s="16" t="inlineStr">
        <is>
          <t>bacteria</t>
        </is>
      </c>
      <c r="C5" s="16" t="inlineStr">
        <is>
          <t>species</t>
        </is>
      </c>
      <c r="D5" s="16" t="inlineStr">
        <is>
          <t>respiratory infection in solid organ transplant recipients</t>
        </is>
      </c>
      <c r="E5" s="27" t="inlineStr">
        <is>
          <t>decreased</t>
        </is>
      </c>
      <c r="F5" s="16" t="inlineStr">
        <is>
          <t>disease_vs_control</t>
        </is>
      </c>
      <c r="G5" s="16" t="inlineStr">
        <is>
          <t>lung</t>
        </is>
      </c>
      <c r="H5" s="16" t="inlineStr"/>
      <c r="I5" s="16" t="inlineStr">
        <is>
          <t>medium</t>
        </is>
      </c>
      <c r="J5" s="18" t="inlineStr">
        <is>
          <t>verified</t>
        </is>
      </c>
      <c r="K5" s="18" t="inlineStr">
        <is>
          <t>keep</t>
        </is>
      </c>
      <c r="L5" s="19" t="inlineStr">
        <is>
          <t>the proportion of Moraxella osloensis, one of the top 20 species in lung microbiology, decreased in the virus-positive group</t>
        </is>
      </c>
      <c r="M5" s="20" t="inlineStr"/>
      <c r="N5" s="21" t="inlineStr"/>
      <c r="O5" s="21" t="inlineStr"/>
    </row>
    <row r="6" ht="20" customHeight="1">
      <c r="A6" s="22" t="inlineStr">
        <is>
          <t>Veillonella parvula</t>
        </is>
      </c>
      <c r="B6" s="22" t="inlineStr">
        <is>
          <t>bacteria</t>
        </is>
      </c>
      <c r="C6" s="22" t="inlineStr">
        <is>
          <t>species</t>
        </is>
      </c>
      <c r="D6" s="22" t="inlineStr">
        <is>
          <t>respiratory infection in solid organ transplant recipients</t>
        </is>
      </c>
      <c r="E6" s="27" t="inlineStr">
        <is>
          <t>decreased</t>
        </is>
      </c>
      <c r="F6" s="22" t="inlineStr">
        <is>
          <t>disease_vs_control</t>
        </is>
      </c>
      <c r="G6" s="22" t="inlineStr">
        <is>
          <t>lung</t>
        </is>
      </c>
      <c r="H6" s="22" t="inlineStr"/>
      <c r="I6" s="22" t="inlineStr">
        <is>
          <t>medium</t>
        </is>
      </c>
      <c r="J6" s="23" t="inlineStr">
        <is>
          <t>verified</t>
        </is>
      </c>
      <c r="K6" s="23" t="inlineStr">
        <is>
          <t>keep</t>
        </is>
      </c>
      <c r="L6" s="24" t="inlineStr">
        <is>
          <t>the proportion of Veillonella parvula, also one of the top 20 species in lung microbiology, decreased in the CMV-positive group</t>
        </is>
      </c>
      <c r="M6" s="20" t="inlineStr"/>
      <c r="N6" s="21" t="inlineStr"/>
      <c r="O6"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6" showDropDown="0" showInputMessage="0" showErrorMessage="0" allowBlank="1" type="list">
      <formula1>"approved,rejected,modified"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134 — Shotgun metagenomics reveals the gut microbial diversity and functions in Vespa mandarinia (Hymenoptera: Vespidae) at multiple life stages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c r="A3" s="28" t="inlineStr">
        <is>
          <t>No relationships extracted — please review paper manually and add below if needed.</t>
        </is>
      </c>
      <c r="B3" s="29" t="n"/>
      <c r="C3" s="29" t="n"/>
      <c r="D3" s="29" t="n"/>
      <c r="E3" s="29" t="n"/>
      <c r="F3" s="29" t="n"/>
      <c r="G3" s="29" t="n"/>
      <c r="H3" s="29" t="n"/>
      <c r="I3" s="29" t="n"/>
      <c r="J3" s="29" t="n"/>
      <c r="K3" s="29" t="n"/>
      <c r="L3" s="29" t="n"/>
      <c r="M3" s="29" t="n"/>
      <c r="N3" s="29" t="n"/>
      <c r="O3" s="29" t="n"/>
    </row>
    <row r="4" ht="20" customHeight="1">
      <c r="A4" s="30" t="inlineStr"/>
      <c r="B4" s="30" t="inlineStr"/>
      <c r="C4" s="30" t="inlineStr"/>
      <c r="D4" s="30" t="inlineStr"/>
      <c r="E4" s="30" t="inlineStr"/>
      <c r="F4" s="30" t="inlineStr"/>
      <c r="G4" s="30" t="inlineStr"/>
      <c r="H4" s="30" t="inlineStr"/>
      <c r="I4" s="30" t="inlineStr"/>
      <c r="J4" s="31" t="inlineStr"/>
      <c r="K4" s="31" t="inlineStr"/>
      <c r="L4" s="31" t="inlineStr"/>
      <c r="M4" s="32" t="inlineStr"/>
      <c r="N4" s="32" t="inlineStr"/>
      <c r="O4" s="32" t="inlineStr"/>
    </row>
    <row r="5" ht="20" customHeight="1">
      <c r="A5" s="30" t="inlineStr"/>
      <c r="B5" s="30" t="inlineStr"/>
      <c r="C5" s="30" t="inlineStr"/>
      <c r="D5" s="30" t="inlineStr"/>
      <c r="E5" s="30" t="inlineStr"/>
      <c r="F5" s="30" t="inlineStr"/>
      <c r="G5" s="30" t="inlineStr"/>
      <c r="H5" s="30" t="inlineStr"/>
      <c r="I5" s="30" t="inlineStr"/>
      <c r="J5" s="31" t="inlineStr"/>
      <c r="K5" s="31" t="inlineStr"/>
      <c r="L5" s="31" t="inlineStr"/>
      <c r="M5" s="32" t="inlineStr"/>
      <c r="N5" s="32" t="inlineStr"/>
      <c r="O5" s="32" t="inlineStr"/>
    </row>
    <row r="6" ht="20" customHeight="1">
      <c r="A6" s="30" t="inlineStr"/>
      <c r="B6" s="30" t="inlineStr"/>
      <c r="C6" s="30" t="inlineStr"/>
      <c r="D6" s="30" t="inlineStr"/>
      <c r="E6" s="30" t="inlineStr"/>
      <c r="F6" s="30" t="inlineStr"/>
      <c r="G6" s="30" t="inlineStr"/>
      <c r="H6" s="30" t="inlineStr"/>
      <c r="I6" s="30" t="inlineStr"/>
      <c r="J6" s="31" t="inlineStr"/>
      <c r="K6" s="31" t="inlineStr"/>
      <c r="L6" s="31" t="inlineStr"/>
      <c r="M6" s="32" t="inlineStr"/>
      <c r="N6" s="32" t="inlineStr"/>
      <c r="O6" s="32" t="inlineStr"/>
    </row>
    <row r="7" ht="20" customHeight="1">
      <c r="A7" s="30" t="inlineStr"/>
      <c r="B7" s="30" t="inlineStr"/>
      <c r="C7" s="30" t="inlineStr"/>
      <c r="D7" s="30" t="inlineStr"/>
      <c r="E7" s="30" t="inlineStr"/>
      <c r="F7" s="30" t="inlineStr"/>
      <c r="G7" s="30" t="inlineStr"/>
      <c r="H7" s="30" t="inlineStr"/>
      <c r="I7" s="30" t="inlineStr"/>
      <c r="J7" s="31" t="inlineStr"/>
      <c r="K7" s="31" t="inlineStr"/>
      <c r="L7" s="31" t="inlineStr"/>
      <c r="M7" s="32" t="inlineStr"/>
      <c r="N7" s="32" t="inlineStr"/>
      <c r="O7" s="32" t="inlineStr"/>
    </row>
    <row r="8" ht="20" customHeight="1">
      <c r="A8" s="30" t="inlineStr"/>
      <c r="B8" s="30" t="inlineStr"/>
      <c r="C8" s="30" t="inlineStr"/>
      <c r="D8" s="30" t="inlineStr"/>
      <c r="E8" s="30" t="inlineStr"/>
      <c r="F8" s="30" t="inlineStr"/>
      <c r="G8" s="30" t="inlineStr"/>
      <c r="H8" s="30" t="inlineStr"/>
      <c r="I8" s="30" t="inlineStr"/>
      <c r="J8" s="31" t="inlineStr"/>
      <c r="K8" s="31" t="inlineStr"/>
      <c r="L8" s="31" t="inlineStr"/>
      <c r="M8" s="32" t="inlineStr"/>
      <c r="N8" s="32" t="inlineStr"/>
      <c r="O8" s="32" t="inlineStr"/>
    </row>
    <row r="9" ht="20" customHeight="1">
      <c r="A9" s="30" t="inlineStr"/>
      <c r="B9" s="30" t="inlineStr"/>
      <c r="C9" s="30" t="inlineStr"/>
      <c r="D9" s="30" t="inlineStr"/>
      <c r="E9" s="30" t="inlineStr"/>
      <c r="F9" s="30" t="inlineStr"/>
      <c r="G9" s="30" t="inlineStr"/>
      <c r="H9" s="30" t="inlineStr"/>
      <c r="I9" s="30" t="inlineStr"/>
      <c r="J9" s="31" t="inlineStr"/>
      <c r="K9" s="31" t="inlineStr"/>
      <c r="L9" s="31" t="inlineStr"/>
      <c r="M9" s="32" t="inlineStr"/>
      <c r="N9" s="32" t="inlineStr"/>
      <c r="O9" s="32" t="inlineStr"/>
    </row>
    <row r="10" ht="20" customHeight="1">
      <c r="A10" s="30" t="inlineStr"/>
      <c r="B10" s="30" t="inlineStr"/>
      <c r="C10" s="30" t="inlineStr"/>
      <c r="D10" s="30" t="inlineStr"/>
      <c r="E10" s="30" t="inlineStr"/>
      <c r="F10" s="30" t="inlineStr"/>
      <c r="G10" s="30" t="inlineStr"/>
      <c r="H10" s="30" t="inlineStr"/>
      <c r="I10" s="30" t="inlineStr"/>
      <c r="J10" s="31" t="inlineStr"/>
      <c r="K10" s="31" t="inlineStr"/>
      <c r="L10" s="31" t="inlineStr"/>
      <c r="M10" s="32" t="inlineStr"/>
      <c r="N10" s="32" t="inlineStr"/>
      <c r="O10" s="32" t="inlineStr"/>
    </row>
    <row r="11" ht="20" customHeight="1">
      <c r="A11" s="30" t="inlineStr"/>
      <c r="B11" s="30" t="inlineStr"/>
      <c r="C11" s="30" t="inlineStr"/>
      <c r="D11" s="30" t="inlineStr"/>
      <c r="E11" s="30" t="inlineStr"/>
      <c r="F11" s="30" t="inlineStr"/>
      <c r="G11" s="30" t="inlineStr"/>
      <c r="H11" s="30" t="inlineStr"/>
      <c r="I11" s="30" t="inlineStr"/>
      <c r="J11" s="31" t="inlineStr"/>
      <c r="K11" s="31" t="inlineStr"/>
      <c r="L11" s="31" t="inlineStr"/>
      <c r="M11" s="32" t="inlineStr"/>
      <c r="N11" s="32" t="inlineStr"/>
      <c r="O11" s="32" t="inlineStr"/>
    </row>
    <row r="12" ht="20" customHeight="1">
      <c r="A12" s="30" t="inlineStr"/>
      <c r="B12" s="30" t="inlineStr"/>
      <c r="C12" s="30" t="inlineStr"/>
      <c r="D12" s="30" t="inlineStr"/>
      <c r="E12" s="30" t="inlineStr"/>
      <c r="F12" s="30" t="inlineStr"/>
      <c r="G12" s="30" t="inlineStr"/>
      <c r="H12" s="30" t="inlineStr"/>
      <c r="I12" s="30" t="inlineStr"/>
      <c r="J12" s="31" t="inlineStr"/>
      <c r="K12" s="31" t="inlineStr"/>
      <c r="L12" s="31" t="inlineStr"/>
      <c r="M12" s="32" t="inlineStr"/>
      <c r="N12" s="32" t="inlineStr"/>
      <c r="O12" s="32" t="inlineStr"/>
    </row>
    <row r="13" ht="20" customHeight="1">
      <c r="A13" s="30" t="inlineStr"/>
      <c r="B13" s="30" t="inlineStr"/>
      <c r="C13" s="30" t="inlineStr"/>
      <c r="D13" s="30" t="inlineStr"/>
      <c r="E13" s="30" t="inlineStr"/>
      <c r="F13" s="30" t="inlineStr"/>
      <c r="G13" s="30" t="inlineStr"/>
      <c r="H13" s="30" t="inlineStr"/>
      <c r="I13" s="30" t="inlineStr"/>
      <c r="J13" s="31" t="inlineStr"/>
      <c r="K13" s="31" t="inlineStr"/>
      <c r="L13" s="31" t="inlineStr"/>
      <c r="M13" s="32" t="inlineStr"/>
      <c r="N13" s="32" t="inlineStr"/>
      <c r="O13" s="32"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1:O1"/>
    <mergeCell ref="A3:O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141 — Reproducibility and Comparability of Fecal Microbiome Associations with Colorectal Cancer in a Cross-Sectional Study</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Fusobacteria</t>
        </is>
      </c>
      <c r="B3" s="16" t="inlineStr">
        <is>
          <t>bacteria</t>
        </is>
      </c>
      <c r="C3" s="16" t="inlineStr">
        <is>
          <t>phylum</t>
        </is>
      </c>
      <c r="D3" s="16" t="inlineStr">
        <is>
          <t>colorectal cancer</t>
        </is>
      </c>
      <c r="E3" s="17" t="inlineStr">
        <is>
          <t>increased</t>
        </is>
      </c>
      <c r="F3" s="16" t="inlineStr">
        <is>
          <t>disease_vs_control</t>
        </is>
      </c>
      <c r="G3" s="16" t="inlineStr">
        <is>
          <t>fecal</t>
        </is>
      </c>
      <c r="H3" s="16" t="inlineStr">
        <is>
          <t>0.003</t>
        </is>
      </c>
      <c r="I3" s="16" t="inlineStr">
        <is>
          <t>high</t>
        </is>
      </c>
      <c r="J3" s="18" t="inlineStr">
        <is>
          <t>unanimous</t>
        </is>
      </c>
      <c r="K3" s="18" t="inlineStr">
        <is>
          <t>keep</t>
        </is>
      </c>
      <c r="L3" s="19" t="inlineStr">
        <is>
          <t>we reproduced a significant association between the presence of the Fusobacteria phyla and CRC case status (p = 0. 003), specifically that 76. 9% of cases and 48. 1% of controls had detectable Fusobacteria.</t>
        </is>
      </c>
      <c r="M3" s="20" t="inlineStr"/>
      <c r="N3" s="21" t="inlineStr"/>
      <c r="O3" s="21" t="inlineStr"/>
    </row>
    <row r="4" ht="20" customHeight="1">
      <c r="A4" s="22" t="inlineStr">
        <is>
          <t>Fusobacterium</t>
        </is>
      </c>
      <c r="B4" s="22" t="inlineStr">
        <is>
          <t>bacteria</t>
        </is>
      </c>
      <c r="C4" s="22" t="inlineStr">
        <is>
          <t>genus</t>
        </is>
      </c>
      <c r="D4" s="22" t="inlineStr">
        <is>
          <t>colorectal cancer</t>
        </is>
      </c>
      <c r="E4" s="17" t="inlineStr">
        <is>
          <t>increased</t>
        </is>
      </c>
      <c r="F4" s="22" t="inlineStr">
        <is>
          <t>disease_vs_control</t>
        </is>
      </c>
      <c r="G4" s="22" t="inlineStr">
        <is>
          <t>fecal</t>
        </is>
      </c>
      <c r="H4" s="22" t="inlineStr">
        <is>
          <t>0.006</t>
        </is>
      </c>
      <c r="I4" s="22" t="inlineStr">
        <is>
          <t>high</t>
        </is>
      </c>
      <c r="J4" s="23" t="inlineStr">
        <is>
          <t>unanimous</t>
        </is>
      </c>
      <c r="K4" s="23" t="inlineStr">
        <is>
          <t>keep</t>
        </is>
      </c>
      <c r="L4" s="24" t="inlineStr">
        <is>
          <t>the WGSS also had higher prevalent detection rate for other taxa, and it reproduced a significant association between the presence of Fusobacterium (p = 0. 006)</t>
        </is>
      </c>
      <c r="M4" s="20" t="inlineStr"/>
      <c r="N4" s="21" t="inlineStr"/>
      <c r="O4" s="21" t="inlineStr"/>
    </row>
    <row r="5" ht="20" customHeight="1">
      <c r="A5" s="16" t="inlineStr">
        <is>
          <t>Porphyromonas</t>
        </is>
      </c>
      <c r="B5" s="16" t="inlineStr">
        <is>
          <t>bacteria</t>
        </is>
      </c>
      <c r="C5" s="16" t="inlineStr">
        <is>
          <t>genus</t>
        </is>
      </c>
      <c r="D5" s="16" t="inlineStr">
        <is>
          <t>colorectal cancer</t>
        </is>
      </c>
      <c r="E5" s="17" t="inlineStr">
        <is>
          <t>increased</t>
        </is>
      </c>
      <c r="F5" s="16" t="inlineStr">
        <is>
          <t>disease_vs_control</t>
        </is>
      </c>
      <c r="G5" s="16" t="inlineStr">
        <is>
          <t>fecal</t>
        </is>
      </c>
      <c r="H5" s="16" t="inlineStr">
        <is>
          <t>0.032</t>
        </is>
      </c>
      <c r="I5" s="16" t="inlineStr">
        <is>
          <t>high</t>
        </is>
      </c>
      <c r="J5" s="18" t="inlineStr">
        <is>
          <t>unanimous</t>
        </is>
      </c>
      <c r="K5" s="18" t="inlineStr">
        <is>
          <t>keep</t>
        </is>
      </c>
      <c r="L5" s="19" t="inlineStr">
        <is>
          <t>reproduced a significant association between the presence of Fusobacterium (p = 0. 006) and Porphyromonas (p = 0. 032) with CRC case status.</t>
        </is>
      </c>
      <c r="M5" s="20" t="inlineStr"/>
      <c r="N5" s="21" t="inlineStr"/>
      <c r="O5" s="21" t="inlineStr"/>
    </row>
    <row r="6" ht="20" customHeight="1">
      <c r="A6" s="22" t="inlineStr">
        <is>
          <t>Atopobium</t>
        </is>
      </c>
      <c r="B6" s="22" t="inlineStr">
        <is>
          <t>bacteria</t>
        </is>
      </c>
      <c r="C6" s="22" t="inlineStr">
        <is>
          <t>genus</t>
        </is>
      </c>
      <c r="D6" s="22" t="inlineStr">
        <is>
          <t>colorectal cancer</t>
        </is>
      </c>
      <c r="E6" s="25" t="inlineStr">
        <is>
          <t>unchanged</t>
        </is>
      </c>
      <c r="F6" s="22" t="inlineStr">
        <is>
          <t>disease_vs_control</t>
        </is>
      </c>
      <c r="G6" s="22" t="inlineStr">
        <is>
          <t>fecal</t>
        </is>
      </c>
      <c r="H6" s="22" t="inlineStr">
        <is>
          <t>0.328</t>
        </is>
      </c>
      <c r="I6" s="22" t="inlineStr">
        <is>
          <t>high</t>
        </is>
      </c>
      <c r="J6" s="23" t="inlineStr">
        <is>
          <t>majority</t>
        </is>
      </c>
      <c r="K6" s="23" t="inlineStr">
        <is>
          <t>keep</t>
        </is>
      </c>
      <c r="L6" s="24" t="inlineStr">
        <is>
          <t>The association between Atopobium and CRC from the 16S DC was not reproduced in the WGSS (Table 2)</t>
        </is>
      </c>
      <c r="M6" s="20" t="inlineStr"/>
      <c r="N6" s="21" t="inlineStr"/>
      <c r="O6" s="21" t="inlineStr"/>
    </row>
    <row r="7" ht="20" customHeight="1">
      <c r="A7" s="16" t="inlineStr">
        <is>
          <t>Clostridia</t>
        </is>
      </c>
      <c r="B7" s="16" t="inlineStr">
        <is>
          <t>bacteria</t>
        </is>
      </c>
      <c r="C7" s="16" t="inlineStr">
        <is>
          <t>class</t>
        </is>
      </c>
      <c r="D7" s="16" t="inlineStr">
        <is>
          <t>colorectal cancer</t>
        </is>
      </c>
      <c r="E7" s="27" t="inlineStr">
        <is>
          <t>decreased</t>
        </is>
      </c>
      <c r="F7" s="16" t="inlineStr">
        <is>
          <t>disease_vs_control</t>
        </is>
      </c>
      <c r="G7" s="16" t="inlineStr">
        <is>
          <t>fecal</t>
        </is>
      </c>
      <c r="H7" s="16" t="inlineStr">
        <is>
          <t>0.092</t>
        </is>
      </c>
      <c r="I7" s="16" t="inlineStr">
        <is>
          <t>medium</t>
        </is>
      </c>
      <c r="J7" s="18" t="inlineStr">
        <is>
          <t>majority</t>
        </is>
      </c>
      <c r="K7" s="18" t="inlineStr">
        <is>
          <t>keep_flagged</t>
        </is>
      </c>
      <c r="L7" s="19" t="inlineStr">
        <is>
          <t>we did not reproduce associations between the relative abundance of specific taxa and CRC case status, although the association between the relative abundance of Clostridia tended to be lower in cases (p = 0. 092).</t>
        </is>
      </c>
      <c r="M7" s="20" t="inlineStr"/>
      <c r="N7" s="21" t="inlineStr"/>
      <c r="O7" s="21" t="inlineStr"/>
    </row>
    <row r="8" ht="20" customHeight="1">
      <c r="A8" s="22" t="inlineStr">
        <is>
          <t>Coprococcus</t>
        </is>
      </c>
      <c r="B8" s="22" t="inlineStr">
        <is>
          <t>bacteria</t>
        </is>
      </c>
      <c r="C8" s="22" t="inlineStr">
        <is>
          <t>genus</t>
        </is>
      </c>
      <c r="D8" s="22" t="inlineStr">
        <is>
          <t>colorectal cancer</t>
        </is>
      </c>
      <c r="E8" s="25" t="inlineStr">
        <is>
          <t>unchanged</t>
        </is>
      </c>
      <c r="F8" s="22" t="inlineStr">
        <is>
          <t>disease_vs_control</t>
        </is>
      </c>
      <c r="G8" s="22" t="inlineStr">
        <is>
          <t>fecal</t>
        </is>
      </c>
      <c r="H8" s="22" t="inlineStr">
        <is>
          <t>0.977</t>
        </is>
      </c>
      <c r="I8" s="22" t="inlineStr">
        <is>
          <t>high</t>
        </is>
      </c>
      <c r="J8" s="23" t="inlineStr">
        <is>
          <t>majority</t>
        </is>
      </c>
      <c r="K8" s="23" t="inlineStr">
        <is>
          <t>keep</t>
        </is>
      </c>
      <c r="L8" s="24" t="inlineStr">
        <is>
          <t>Coprococcus 1.2% cases vs 1.4% controls, p=0.977 (Table 3, WGSS DC)</t>
        </is>
      </c>
      <c r="M8" s="20" t="inlineStr"/>
      <c r="N8" s="21" t="inlineStr"/>
      <c r="O8" s="21" t="inlineStr"/>
    </row>
    <row r="9" ht="20" customHeight="1">
      <c r="A9" s="16" t="inlineStr">
        <is>
          <t>Bacteroidia</t>
        </is>
      </c>
      <c r="B9" s="16" t="inlineStr">
        <is>
          <t>bacteria</t>
        </is>
      </c>
      <c r="C9" s="16" t="inlineStr">
        <is>
          <t>class</t>
        </is>
      </c>
      <c r="D9" s="16" t="inlineStr">
        <is>
          <t>colorectal cancer</t>
        </is>
      </c>
      <c r="E9" s="25" t="inlineStr">
        <is>
          <t>unchanged</t>
        </is>
      </c>
      <c r="F9" s="16" t="inlineStr">
        <is>
          <t>disease_vs_control</t>
        </is>
      </c>
      <c r="G9" s="16" t="inlineStr">
        <is>
          <t>fecal</t>
        </is>
      </c>
      <c r="H9" s="16" t="inlineStr"/>
      <c r="I9" s="16" t="inlineStr">
        <is>
          <t>low</t>
        </is>
      </c>
      <c r="J9" s="18" t="inlineStr">
        <is>
          <t>single_extractor</t>
        </is>
      </c>
      <c r="K9" s="18" t="inlineStr">
        <is>
          <t>keep_flagged</t>
        </is>
      </c>
      <c r="L9" s="19" t="inlineStr">
        <is>
          <t>the class with a highest relative abundance was Bacteroidia, which had a relative abundance of 53. 2% in cases and 50. 9% in controls (S1 Table).</t>
        </is>
      </c>
      <c r="M9" s="20" t="inlineStr"/>
      <c r="N9" s="21" t="inlineStr"/>
      <c r="O9" s="21" t="inlineStr"/>
    </row>
    <row r="10" ht="20" customHeight="1">
      <c r="A10" s="22" t="inlineStr">
        <is>
          <t>Fusobacteria</t>
        </is>
      </c>
      <c r="B10" s="22" t="inlineStr">
        <is>
          <t>bacteria</t>
        </is>
      </c>
      <c r="C10" s="22" t="inlineStr">
        <is>
          <t>phylum</t>
        </is>
      </c>
      <c r="D10" s="22" t="inlineStr">
        <is>
          <t>colorectal cancer</t>
        </is>
      </c>
      <c r="E10" s="17" t="inlineStr">
        <is>
          <t>increased</t>
        </is>
      </c>
      <c r="F10" s="22" t="inlineStr">
        <is>
          <t>disease_vs_control</t>
        </is>
      </c>
      <c r="G10" s="22" t="inlineStr">
        <is>
          <t>fecal</t>
        </is>
      </c>
      <c r="H10" s="22" t="inlineStr">
        <is>
          <t>0.007</t>
        </is>
      </c>
      <c r="I10" s="22" t="inlineStr">
        <is>
          <t>high</t>
        </is>
      </c>
      <c r="J10" s="23" t="inlineStr">
        <is>
          <t>late_discovery</t>
        </is>
      </c>
      <c r="K10" s="23" t="inlineStr">
        <is>
          <t>keep</t>
        </is>
      </c>
      <c r="L10" s="24" t="inlineStr">
        <is>
          <t>Fusobacteria (phylum) 36.2% cases vs 16.0% controls, p=0.007 (Table 2, 16S DC)</t>
        </is>
      </c>
      <c r="M10" s="20" t="inlineStr"/>
      <c r="N10" s="21" t="inlineStr"/>
      <c r="O10" s="21" t="inlineStr"/>
    </row>
    <row r="11" ht="20" customHeight="1">
      <c r="A11" s="16" t="inlineStr">
        <is>
          <t>Fusobacterium</t>
        </is>
      </c>
      <c r="B11" s="16" t="inlineStr">
        <is>
          <t>bacteria</t>
        </is>
      </c>
      <c r="C11" s="16" t="inlineStr">
        <is>
          <t>genus</t>
        </is>
      </c>
      <c r="D11" s="16" t="inlineStr">
        <is>
          <t>colorectal cancer</t>
        </is>
      </c>
      <c r="E11" s="17" t="inlineStr">
        <is>
          <t>increased</t>
        </is>
      </c>
      <c r="F11" s="16" t="inlineStr">
        <is>
          <t>disease_vs_control</t>
        </is>
      </c>
      <c r="G11" s="16" t="inlineStr">
        <is>
          <t>fecal</t>
        </is>
      </c>
      <c r="H11" s="16" t="inlineStr">
        <is>
          <t>0.004</t>
        </is>
      </c>
      <c r="I11" s="16" t="inlineStr">
        <is>
          <t>high</t>
        </is>
      </c>
      <c r="J11" s="18" t="inlineStr">
        <is>
          <t>late_discovery</t>
        </is>
      </c>
      <c r="K11" s="18" t="inlineStr">
        <is>
          <t>keep</t>
        </is>
      </c>
      <c r="L11" s="19" t="inlineStr">
        <is>
          <t>Fusobacterium 31.9% cases vs 11.7% controls, p=0.004 (Table 2, 16S DC)</t>
        </is>
      </c>
      <c r="M11" s="20" t="inlineStr"/>
      <c r="N11" s="21" t="inlineStr"/>
      <c r="O11" s="21" t="inlineStr"/>
    </row>
    <row r="12" ht="20" customHeight="1">
      <c r="A12" s="22" t="inlineStr">
        <is>
          <t>Atopobium</t>
        </is>
      </c>
      <c r="B12" s="22" t="inlineStr">
        <is>
          <t>bacteria</t>
        </is>
      </c>
      <c r="C12" s="22" t="inlineStr">
        <is>
          <t>genus</t>
        </is>
      </c>
      <c r="D12" s="22" t="inlineStr">
        <is>
          <t>colorectal cancer</t>
        </is>
      </c>
      <c r="E12" s="17" t="inlineStr">
        <is>
          <t>increased</t>
        </is>
      </c>
      <c r="F12" s="22" t="inlineStr">
        <is>
          <t>disease_vs_control</t>
        </is>
      </c>
      <c r="G12" s="22" t="inlineStr">
        <is>
          <t>fecal</t>
        </is>
      </c>
      <c r="H12" s="22" t="inlineStr">
        <is>
          <t>&lt;0.001</t>
        </is>
      </c>
      <c r="I12" s="22" t="inlineStr">
        <is>
          <t>high</t>
        </is>
      </c>
      <c r="J12" s="23" t="inlineStr">
        <is>
          <t>late_discovery</t>
        </is>
      </c>
      <c r="K12" s="23" t="inlineStr">
        <is>
          <t>keep</t>
        </is>
      </c>
      <c r="L12" s="24" t="inlineStr">
        <is>
          <t>Atopobium 19.2% cases vs 2.1% controls, p&lt;0.001 (Table 2, 16S DC)</t>
        </is>
      </c>
      <c r="M12" s="20" t="inlineStr"/>
      <c r="N12" s="21" t="inlineStr"/>
      <c r="O12" s="21" t="inlineStr"/>
    </row>
    <row r="13" ht="20" customHeight="1">
      <c r="A13" s="16" t="inlineStr">
        <is>
          <t>Porphyromonas</t>
        </is>
      </c>
      <c r="B13" s="16" t="inlineStr">
        <is>
          <t>bacteria</t>
        </is>
      </c>
      <c r="C13" s="16" t="inlineStr">
        <is>
          <t>genus</t>
        </is>
      </c>
      <c r="D13" s="16" t="inlineStr">
        <is>
          <t>colorectal cancer</t>
        </is>
      </c>
      <c r="E13" s="17" t="inlineStr">
        <is>
          <t>increased</t>
        </is>
      </c>
      <c r="F13" s="16" t="inlineStr">
        <is>
          <t>disease_vs_control</t>
        </is>
      </c>
      <c r="G13" s="16" t="inlineStr">
        <is>
          <t>fecal</t>
        </is>
      </c>
      <c r="H13" s="16" t="inlineStr">
        <is>
          <t>0.001</t>
        </is>
      </c>
      <c r="I13" s="16" t="inlineStr">
        <is>
          <t>high</t>
        </is>
      </c>
      <c r="J13" s="18" t="inlineStr">
        <is>
          <t>late_discovery</t>
        </is>
      </c>
      <c r="K13" s="18" t="inlineStr">
        <is>
          <t>keep</t>
        </is>
      </c>
      <c r="L13" s="19" t="inlineStr">
        <is>
          <t>Porphyromonas 27.7% cases vs 7.5% controls, p=0.001 (Table 2, 16S DC)</t>
        </is>
      </c>
      <c r="M13" s="20" t="inlineStr"/>
      <c r="N13" s="21" t="inlineStr"/>
      <c r="O13" s="21" t="inlineStr"/>
    </row>
    <row r="14" ht="20" customHeight="1">
      <c r="A14" s="22" t="inlineStr">
        <is>
          <t>Clostridia</t>
        </is>
      </c>
      <c r="B14" s="22" t="inlineStr">
        <is>
          <t>bacteria</t>
        </is>
      </c>
      <c r="C14" s="22" t="inlineStr">
        <is>
          <t>class</t>
        </is>
      </c>
      <c r="D14" s="22" t="inlineStr">
        <is>
          <t>colorectal cancer</t>
        </is>
      </c>
      <c r="E14" s="27" t="inlineStr">
        <is>
          <t>decreased</t>
        </is>
      </c>
      <c r="F14" s="22" t="inlineStr">
        <is>
          <t>disease_vs_control</t>
        </is>
      </c>
      <c r="G14" s="22" t="inlineStr">
        <is>
          <t>fecal</t>
        </is>
      </c>
      <c r="H14" s="22" t="inlineStr">
        <is>
          <t>0.005</t>
        </is>
      </c>
      <c r="I14" s="22" t="inlineStr">
        <is>
          <t>high</t>
        </is>
      </c>
      <c r="J14" s="23" t="inlineStr">
        <is>
          <t>late_discovery</t>
        </is>
      </c>
      <c r="K14" s="23" t="inlineStr">
        <is>
          <t>keep</t>
        </is>
      </c>
      <c r="L14" s="24" t="inlineStr">
        <is>
          <t>Clostridia (class) 68.6% cases vs 77.8% controls, p=0.005 (Table 3, 16S DC)</t>
        </is>
      </c>
      <c r="M14" s="20" t="inlineStr"/>
      <c r="N14" s="21" t="inlineStr"/>
      <c r="O14" s="21" t="inlineStr"/>
    </row>
    <row r="15" ht="20" customHeight="1">
      <c r="A15" s="16" t="inlineStr">
        <is>
          <t>Coprococcus</t>
        </is>
      </c>
      <c r="B15" s="16" t="inlineStr">
        <is>
          <t>bacteria</t>
        </is>
      </c>
      <c r="C15" s="16" t="inlineStr">
        <is>
          <t>genus</t>
        </is>
      </c>
      <c r="D15" s="16" t="inlineStr">
        <is>
          <t>colorectal cancer</t>
        </is>
      </c>
      <c r="E15" s="27" t="inlineStr">
        <is>
          <t>decreased</t>
        </is>
      </c>
      <c r="F15" s="16" t="inlineStr">
        <is>
          <t>disease_vs_control</t>
        </is>
      </c>
      <c r="G15" s="16" t="inlineStr">
        <is>
          <t>fecal</t>
        </is>
      </c>
      <c r="H15" s="16" t="inlineStr">
        <is>
          <t>0.002</t>
        </is>
      </c>
      <c r="I15" s="16" t="inlineStr">
        <is>
          <t>high</t>
        </is>
      </c>
      <c r="J15" s="18" t="inlineStr">
        <is>
          <t>late_discovery</t>
        </is>
      </c>
      <c r="K15" s="18" t="inlineStr">
        <is>
          <t>keep</t>
        </is>
      </c>
      <c r="L15" s="19" t="inlineStr">
        <is>
          <t>Coprococcus 1.7% cases vs 3.7% controls, p=0.002 (Table 3, 16S DC)</t>
        </is>
      </c>
      <c r="M15" s="20" t="inlineStr"/>
      <c r="N15" s="21" t="inlineStr"/>
      <c r="O15"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5" showDropDown="0" showInputMessage="0" showErrorMessage="0" allowBlank="1" type="list">
      <formula1>"approved,rejected,modified"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7"/>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1421 — Periodontitis-related salivary microbiota aggravates Alzheimer's disease via gut-brain axis crosstalk</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Bacteroidetes</t>
        </is>
      </c>
      <c r="B3" s="16" t="inlineStr">
        <is>
          <t>bacteria</t>
        </is>
      </c>
      <c r="C3" s="16" t="inlineStr">
        <is>
          <t>phylum</t>
        </is>
      </c>
      <c r="D3" s="16" t="inlineStr">
        <is>
          <t>Alzheimer's disease</t>
        </is>
      </c>
      <c r="E3" s="17" t="inlineStr">
        <is>
          <t>increased</t>
        </is>
      </c>
      <c r="F3" s="16" t="inlineStr">
        <is>
          <t>disease_vs_control</t>
        </is>
      </c>
      <c r="G3" s="16" t="inlineStr">
        <is>
          <t>oral</t>
        </is>
      </c>
      <c r="H3" s="16" t="inlineStr"/>
      <c r="I3" s="16" t="inlineStr">
        <is>
          <t>medium</t>
        </is>
      </c>
      <c r="J3" s="18" t="inlineStr">
        <is>
          <t>verified</t>
        </is>
      </c>
      <c r="K3" s="18" t="inlineStr">
        <is>
          <t>keep_flagged</t>
        </is>
      </c>
      <c r="L3" s="19" t="inlineStr">
        <is>
          <t>The phylum Bacteroidetes showed a tendency to increase in abundance, and Firmicutes decreased in the PS group compared to the HS group.</t>
        </is>
      </c>
      <c r="M3" s="20" t="inlineStr"/>
      <c r="N3" s="21" t="inlineStr"/>
      <c r="O3" s="21" t="inlineStr"/>
    </row>
    <row r="4" ht="20" customHeight="1">
      <c r="A4" s="22" t="inlineStr">
        <is>
          <t>Firmicutes</t>
        </is>
      </c>
      <c r="B4" s="22" t="inlineStr">
        <is>
          <t>bacteria</t>
        </is>
      </c>
      <c r="C4" s="22" t="inlineStr">
        <is>
          <t>phylum</t>
        </is>
      </c>
      <c r="D4" s="22" t="inlineStr">
        <is>
          <t>Alzheimer's disease</t>
        </is>
      </c>
      <c r="E4" s="27" t="inlineStr">
        <is>
          <t>decreased</t>
        </is>
      </c>
      <c r="F4" s="22" t="inlineStr">
        <is>
          <t>disease_vs_control</t>
        </is>
      </c>
      <c r="G4" s="22" t="inlineStr">
        <is>
          <t>oral</t>
        </is>
      </c>
      <c r="H4" s="22" t="inlineStr"/>
      <c r="I4" s="22" t="inlineStr">
        <is>
          <t>medium</t>
        </is>
      </c>
      <c r="J4" s="23" t="inlineStr">
        <is>
          <t>verified</t>
        </is>
      </c>
      <c r="K4" s="23" t="inlineStr">
        <is>
          <t>keep</t>
        </is>
      </c>
      <c r="L4" s="24" t="inlineStr">
        <is>
          <t>The phylum Bacteroidetes showed a tendency to increase in abundance, and Firmicutes decreased in the PS group compared to the HS group.</t>
        </is>
      </c>
      <c r="M4" s="20" t="inlineStr"/>
      <c r="N4" s="21" t="inlineStr"/>
      <c r="O4" s="21" t="inlineStr"/>
    </row>
    <row r="5" ht="20" customHeight="1">
      <c r="A5" s="16" t="inlineStr">
        <is>
          <t>Treponema</t>
        </is>
      </c>
      <c r="B5" s="16" t="inlineStr">
        <is>
          <t>bacteria</t>
        </is>
      </c>
      <c r="C5" s="16" t="inlineStr">
        <is>
          <t>genus</t>
        </is>
      </c>
      <c r="D5" s="16" t="inlineStr">
        <is>
          <t>Alzheimer's disease</t>
        </is>
      </c>
      <c r="E5" s="17" t="inlineStr">
        <is>
          <t>increased</t>
        </is>
      </c>
      <c r="F5" s="16" t="inlineStr">
        <is>
          <t>disease_vs_control</t>
        </is>
      </c>
      <c r="G5" s="16" t="inlineStr">
        <is>
          <t>oral</t>
        </is>
      </c>
      <c r="H5" s="16" t="inlineStr">
        <is>
          <t>&lt; 0.05</t>
        </is>
      </c>
      <c r="I5" s="16" t="inlineStr">
        <is>
          <t>high</t>
        </is>
      </c>
      <c r="J5" s="18" t="inlineStr">
        <is>
          <t>verified</t>
        </is>
      </c>
      <c r="K5" s="18" t="inlineStr">
        <is>
          <t>keep</t>
        </is>
      </c>
      <c r="L5" s="19" t="inlineStr">
        <is>
          <t>Periodontal pathogens such as Treponema, Porphyromonas, and Fusobacterium, were enriched in periodontitis saliva according to the random forest and linear discriminant analysis effect size (LEfSe) results.</t>
        </is>
      </c>
      <c r="M5" s="20" t="inlineStr"/>
      <c r="N5" s="21" t="inlineStr"/>
      <c r="O5" s="21" t="inlineStr"/>
    </row>
    <row r="6" ht="20" customHeight="1">
      <c r="A6" s="22" t="inlineStr">
        <is>
          <t>Porphyromonas</t>
        </is>
      </c>
      <c r="B6" s="22" t="inlineStr">
        <is>
          <t>bacteria</t>
        </is>
      </c>
      <c r="C6" s="22" t="inlineStr">
        <is>
          <t>genus</t>
        </is>
      </c>
      <c r="D6" s="22" t="inlineStr">
        <is>
          <t>Alzheimer's disease</t>
        </is>
      </c>
      <c r="E6" s="17" t="inlineStr">
        <is>
          <t>increased</t>
        </is>
      </c>
      <c r="F6" s="22" t="inlineStr">
        <is>
          <t>disease_vs_control</t>
        </is>
      </c>
      <c r="G6" s="22" t="inlineStr">
        <is>
          <t>oral</t>
        </is>
      </c>
      <c r="H6" s="22" t="inlineStr">
        <is>
          <t>&lt; 0.05</t>
        </is>
      </c>
      <c r="I6" s="22" t="inlineStr">
        <is>
          <t>high</t>
        </is>
      </c>
      <c r="J6" s="23" t="inlineStr">
        <is>
          <t>verified</t>
        </is>
      </c>
      <c r="K6" s="23" t="inlineStr">
        <is>
          <t>keep</t>
        </is>
      </c>
      <c r="L6" s="24" t="inlineStr">
        <is>
          <t>Periodontal pathogens such as Treponema, Porphyromonas, and Fusobacterium, were enriched in periodontitis saliva according to the random forest and linear discriminant analysis effect size (LEfSe) results.</t>
        </is>
      </c>
      <c r="M6" s="20" t="inlineStr"/>
      <c r="N6" s="21" t="inlineStr"/>
      <c r="O6" s="21" t="inlineStr"/>
    </row>
    <row r="7" ht="20" customHeight="1">
      <c r="A7" s="16" t="inlineStr">
        <is>
          <t>Fusobacterium</t>
        </is>
      </c>
      <c r="B7" s="16" t="inlineStr">
        <is>
          <t>bacteria</t>
        </is>
      </c>
      <c r="C7" s="16" t="inlineStr">
        <is>
          <t>genus</t>
        </is>
      </c>
      <c r="D7" s="16" t="inlineStr">
        <is>
          <t>Alzheimer's disease</t>
        </is>
      </c>
      <c r="E7" s="17" t="inlineStr">
        <is>
          <t>increased</t>
        </is>
      </c>
      <c r="F7" s="16" t="inlineStr">
        <is>
          <t>disease_vs_control</t>
        </is>
      </c>
      <c r="G7" s="16" t="inlineStr">
        <is>
          <t>oral</t>
        </is>
      </c>
      <c r="H7" s="16" t="inlineStr">
        <is>
          <t>&lt; 0.05</t>
        </is>
      </c>
      <c r="I7" s="16" t="inlineStr">
        <is>
          <t>high</t>
        </is>
      </c>
      <c r="J7" s="18" t="inlineStr">
        <is>
          <t>verified</t>
        </is>
      </c>
      <c r="K7" s="18" t="inlineStr">
        <is>
          <t>keep</t>
        </is>
      </c>
      <c r="L7" s="19" t="inlineStr">
        <is>
          <t>Periodontal pathogens such as Treponema, Porphyromonas, and Fusobacterium, were enriched in periodontitis saliva according to the random forest and linear discriminant analysis effect size (LEfSe) results.</t>
        </is>
      </c>
      <c r="M7" s="20" t="inlineStr"/>
      <c r="N7" s="21" t="inlineStr"/>
      <c r="O7" s="21" t="inlineStr"/>
    </row>
    <row r="8" ht="20" customHeight="1">
      <c r="A8" s="22" t="inlineStr">
        <is>
          <t>Bacteroidetes</t>
        </is>
      </c>
      <c r="B8" s="22" t="inlineStr">
        <is>
          <t>bacteria</t>
        </is>
      </c>
      <c r="C8" s="22" t="inlineStr">
        <is>
          <t>phylum</t>
        </is>
      </c>
      <c r="D8" s="22" t="inlineStr">
        <is>
          <t>Alzheimer's disease</t>
        </is>
      </c>
      <c r="E8" s="17" t="inlineStr">
        <is>
          <t>increased</t>
        </is>
      </c>
      <c r="F8" s="22" t="inlineStr">
        <is>
          <t>treatment_effect</t>
        </is>
      </c>
      <c r="G8" s="22" t="inlineStr">
        <is>
          <t>fecal</t>
        </is>
      </c>
      <c r="H8" s="22" t="inlineStr">
        <is>
          <t>&lt; 0.05</t>
        </is>
      </c>
      <c r="I8" s="22" t="inlineStr">
        <is>
          <t>high</t>
        </is>
      </c>
      <c r="J8" s="23" t="inlineStr">
        <is>
          <t>verified</t>
        </is>
      </c>
      <c r="K8" s="23" t="inlineStr">
        <is>
          <t>keep</t>
        </is>
      </c>
      <c r="L8" s="24" t="inlineStr">
        <is>
          <t>At the phylum level, the amount of Bacteroidetes increased by 28.33%, while that of Firmicutes decreased by 27.66% in the P group versus the H group.</t>
        </is>
      </c>
      <c r="M8" s="20" t="inlineStr"/>
      <c r="N8" s="21" t="inlineStr"/>
      <c r="O8" s="21" t="inlineStr"/>
    </row>
    <row r="9" ht="20" customHeight="1">
      <c r="A9" s="16" t="inlineStr">
        <is>
          <t>Firmicutes</t>
        </is>
      </c>
      <c r="B9" s="16" t="inlineStr">
        <is>
          <t>bacteria</t>
        </is>
      </c>
      <c r="C9" s="16" t="inlineStr">
        <is>
          <t>phylum</t>
        </is>
      </c>
      <c r="D9" s="16" t="inlineStr">
        <is>
          <t>Alzheimer's disease</t>
        </is>
      </c>
      <c r="E9" s="27" t="inlineStr">
        <is>
          <t>decreased</t>
        </is>
      </c>
      <c r="F9" s="16" t="inlineStr">
        <is>
          <t>treatment_effect</t>
        </is>
      </c>
      <c r="G9" s="16" t="inlineStr">
        <is>
          <t>fecal</t>
        </is>
      </c>
      <c r="H9" s="16" t="inlineStr">
        <is>
          <t>&lt; 0.05</t>
        </is>
      </c>
      <c r="I9" s="16" t="inlineStr">
        <is>
          <t>high</t>
        </is>
      </c>
      <c r="J9" s="18" t="inlineStr">
        <is>
          <t>verified</t>
        </is>
      </c>
      <c r="K9" s="18" t="inlineStr">
        <is>
          <t>keep</t>
        </is>
      </c>
      <c r="L9" s="19" t="inlineStr">
        <is>
          <t>At the phylum level, the amount of Bacteroidetes increased by 28.33%, while that of Firmicutes decreased by 27.66% in the P group versus the H group.</t>
        </is>
      </c>
      <c r="M9" s="20" t="inlineStr"/>
      <c r="N9" s="21" t="inlineStr"/>
      <c r="O9" s="21" t="inlineStr"/>
    </row>
    <row r="10" ht="20" customHeight="1">
      <c r="A10" s="22" t="inlineStr">
        <is>
          <t>Sutterella</t>
        </is>
      </c>
      <c r="B10" s="22" t="inlineStr">
        <is>
          <t>bacteria</t>
        </is>
      </c>
      <c r="C10" s="22" t="inlineStr">
        <is>
          <t>genus</t>
        </is>
      </c>
      <c r="D10" s="22" t="inlineStr">
        <is>
          <t>Alzheimer's disease</t>
        </is>
      </c>
      <c r="E10" s="17" t="inlineStr">
        <is>
          <t>increased</t>
        </is>
      </c>
      <c r="F10" s="22" t="inlineStr">
        <is>
          <t>treatment_effect</t>
        </is>
      </c>
      <c r="G10" s="22" t="inlineStr">
        <is>
          <t>fecal</t>
        </is>
      </c>
      <c r="H10" s="22" t="inlineStr">
        <is>
          <t>&lt; 0.01</t>
        </is>
      </c>
      <c r="I10" s="22" t="inlineStr">
        <is>
          <t>high</t>
        </is>
      </c>
      <c r="J10" s="23" t="inlineStr">
        <is>
          <t>verified</t>
        </is>
      </c>
      <c r="K10" s="23" t="inlineStr">
        <is>
          <t>keep</t>
        </is>
      </c>
      <c r="L10" s="24" t="inlineStr">
        <is>
          <t>the relative abundance of Sutterella was significantly increased in the P group versus the H group (p &lt; .01) (Figure S1A)</t>
        </is>
      </c>
      <c r="M10" s="20" t="inlineStr"/>
      <c r="N10" s="21" t="inlineStr"/>
      <c r="O10" s="21" t="inlineStr"/>
    </row>
    <row r="11" ht="20" customHeight="1">
      <c r="A11" s="16" t="inlineStr">
        <is>
          <t>Lactobacillus</t>
        </is>
      </c>
      <c r="B11" s="16" t="inlineStr">
        <is>
          <t>bacteria</t>
        </is>
      </c>
      <c r="C11" s="16" t="inlineStr">
        <is>
          <t>genus</t>
        </is>
      </c>
      <c r="D11" s="16" t="inlineStr">
        <is>
          <t>Alzheimer's disease</t>
        </is>
      </c>
      <c r="E11" s="27" t="inlineStr">
        <is>
          <t>decreased</t>
        </is>
      </c>
      <c r="F11" s="16" t="inlineStr">
        <is>
          <t>treatment_effect</t>
        </is>
      </c>
      <c r="G11" s="16" t="inlineStr">
        <is>
          <t>fecal</t>
        </is>
      </c>
      <c r="H11" s="16" t="inlineStr"/>
      <c r="I11" s="16" t="inlineStr">
        <is>
          <t>low</t>
        </is>
      </c>
      <c r="J11" s="18" t="inlineStr">
        <is>
          <t>verified</t>
        </is>
      </c>
      <c r="K11" s="18" t="inlineStr">
        <is>
          <t>keep_flagged</t>
        </is>
      </c>
      <c r="L11" s="19" t="inlineStr">
        <is>
          <t>that of Lactobacillus was reduced in the P group, although no significant difference between groups was found (Figure S1B)</t>
        </is>
      </c>
      <c r="M11" s="20" t="inlineStr"/>
      <c r="N11" s="21" t="inlineStr"/>
      <c r="O11" s="21" t="inlineStr"/>
    </row>
    <row r="12" ht="20" customHeight="1">
      <c r="A12" s="22" t="inlineStr">
        <is>
          <t>Odoribacter</t>
        </is>
      </c>
      <c r="B12" s="22" t="inlineStr">
        <is>
          <t>bacteria</t>
        </is>
      </c>
      <c r="C12" s="22" t="inlineStr">
        <is>
          <t>genus</t>
        </is>
      </c>
      <c r="D12" s="22" t="inlineStr">
        <is>
          <t>Alzheimer's disease</t>
        </is>
      </c>
      <c r="E12" s="26" t="inlineStr">
        <is>
          <t>unclear</t>
        </is>
      </c>
      <c r="F12" s="22" t="inlineStr">
        <is>
          <t>treatment_effect</t>
        </is>
      </c>
      <c r="G12" s="22" t="inlineStr">
        <is>
          <t>fecal</t>
        </is>
      </c>
      <c r="H12" s="22" t="inlineStr"/>
      <c r="I12" s="22" t="inlineStr">
        <is>
          <t>low</t>
        </is>
      </c>
      <c r="J12" s="23" t="inlineStr">
        <is>
          <t>verified</t>
        </is>
      </c>
      <c r="K12" s="23" t="inlineStr">
        <is>
          <t>keep_flagged</t>
        </is>
      </c>
      <c r="L12" s="24" t="inlineStr">
        <is>
          <t>Odoribacter, Sutterella, Ruminococcus, Helicobacter, Allobaculum, Oscillospira, Rikenella, and Dorea were the most representative differential microbiota between the P and H groups, according to the LEfSe results and random forest analysis... Sutterella, Allobaculum, and Odoribacter displayed strong positive correlations with the AD-related parameters.</t>
        </is>
      </c>
      <c r="M12" s="20" t="inlineStr"/>
      <c r="N12" s="21" t="inlineStr"/>
      <c r="O12" s="21" t="inlineStr"/>
    </row>
    <row r="13" ht="20" customHeight="1">
      <c r="A13" s="16" t="inlineStr">
        <is>
          <t>Allobaculum</t>
        </is>
      </c>
      <c r="B13" s="16" t="inlineStr">
        <is>
          <t>bacteria</t>
        </is>
      </c>
      <c r="C13" s="16" t="inlineStr">
        <is>
          <t>genus</t>
        </is>
      </c>
      <c r="D13" s="16" t="inlineStr">
        <is>
          <t>Alzheimer's disease</t>
        </is>
      </c>
      <c r="E13" s="26" t="inlineStr">
        <is>
          <t>unclear</t>
        </is>
      </c>
      <c r="F13" s="16" t="inlineStr">
        <is>
          <t>treatment_effect</t>
        </is>
      </c>
      <c r="G13" s="16" t="inlineStr">
        <is>
          <t>fecal</t>
        </is>
      </c>
      <c r="H13" s="16" t="inlineStr"/>
      <c r="I13" s="16" t="inlineStr">
        <is>
          <t>low</t>
        </is>
      </c>
      <c r="J13" s="18" t="inlineStr">
        <is>
          <t>verified</t>
        </is>
      </c>
      <c r="K13" s="18" t="inlineStr">
        <is>
          <t>keep_flagged</t>
        </is>
      </c>
      <c r="L13" s="19" t="inlineStr">
        <is>
          <t>Odoribacter, Sutterella, Ruminococcus, Helicobacter, Allobaculum, Oscillospira, Rikenella, and Dorea were the most representative differential microbiota between the P and H groups, according to the LEfSe results and random forest analysis... Sutterella, Allobaculum, and Odoribacter displayed strong positive correlations with the AD-related parameters.</t>
        </is>
      </c>
      <c r="M13" s="20" t="inlineStr"/>
      <c r="N13" s="21" t="inlineStr"/>
      <c r="O13" s="21" t="inlineStr"/>
    </row>
    <row r="14" ht="20" customHeight="1">
      <c r="A14" s="22" t="inlineStr">
        <is>
          <t>Ruminococcus</t>
        </is>
      </c>
      <c r="B14" s="22" t="inlineStr">
        <is>
          <t>bacteria</t>
        </is>
      </c>
      <c r="C14" s="22" t="inlineStr">
        <is>
          <t>genus</t>
        </is>
      </c>
      <c r="D14" s="22" t="inlineStr">
        <is>
          <t>Alzheimer's disease</t>
        </is>
      </c>
      <c r="E14" s="26" t="inlineStr">
        <is>
          <t>unclear</t>
        </is>
      </c>
      <c r="F14" s="22" t="inlineStr">
        <is>
          <t>treatment_effect</t>
        </is>
      </c>
      <c r="G14" s="22" t="inlineStr">
        <is>
          <t>fecal</t>
        </is>
      </c>
      <c r="H14" s="22" t="inlineStr"/>
      <c r="I14" s="22" t="inlineStr">
        <is>
          <t>low</t>
        </is>
      </c>
      <c r="J14" s="23" t="inlineStr">
        <is>
          <t>verified</t>
        </is>
      </c>
      <c r="K14" s="23" t="inlineStr">
        <is>
          <t>keep_flagged</t>
        </is>
      </c>
      <c r="L14" s="24" t="inlineStr">
        <is>
          <t>Odoribacter, Sutterella, Ruminococcus, Helicobacter, Allobaculum, Oscillospira, Rikenella, and Dorea were the most representative differential microbiota between the P and H groups... Lactobacillus, Oscillospira, Ruminococcus, Rikenella, and Helicobacter were negatively correlated with most AD phenotypes.</t>
        </is>
      </c>
      <c r="M14" s="20" t="inlineStr"/>
      <c r="N14" s="21" t="inlineStr"/>
      <c r="O14" s="21" t="inlineStr"/>
    </row>
    <row r="15" ht="20" customHeight="1">
      <c r="A15" s="16" t="inlineStr">
        <is>
          <t>Helicobacter</t>
        </is>
      </c>
      <c r="B15" s="16" t="inlineStr">
        <is>
          <t>bacteria</t>
        </is>
      </c>
      <c r="C15" s="16" t="inlineStr">
        <is>
          <t>genus</t>
        </is>
      </c>
      <c r="D15" s="16" t="inlineStr">
        <is>
          <t>Alzheimer's disease</t>
        </is>
      </c>
      <c r="E15" s="26" t="inlineStr">
        <is>
          <t>unclear</t>
        </is>
      </c>
      <c r="F15" s="16" t="inlineStr">
        <is>
          <t>treatment_effect</t>
        </is>
      </c>
      <c r="G15" s="16" t="inlineStr">
        <is>
          <t>fecal</t>
        </is>
      </c>
      <c r="H15" s="16" t="inlineStr"/>
      <c r="I15" s="16" t="inlineStr">
        <is>
          <t>low</t>
        </is>
      </c>
      <c r="J15" s="18" t="inlineStr">
        <is>
          <t>verified</t>
        </is>
      </c>
      <c r="K15" s="18" t="inlineStr">
        <is>
          <t>keep_flagged</t>
        </is>
      </c>
      <c r="L15" s="19" t="inlineStr">
        <is>
          <t>Odoribacter, Sutterella, Ruminococcus, Helicobacter, Allobaculum, Oscillospira, Rikenella, and Dorea were the most representative differential microbiota between the P and H groups... Lactobacillus, Oscillospira, Ruminococcus, Rikenella, and Helicobacter were negatively correlated with most AD phenotypes.</t>
        </is>
      </c>
      <c r="M15" s="20" t="inlineStr"/>
      <c r="N15" s="21" t="inlineStr"/>
      <c r="O15" s="21" t="inlineStr"/>
    </row>
    <row r="16" ht="20" customHeight="1">
      <c r="A16" s="22" t="inlineStr">
        <is>
          <t>Oscillospira</t>
        </is>
      </c>
      <c r="B16" s="22" t="inlineStr">
        <is>
          <t>bacteria</t>
        </is>
      </c>
      <c r="C16" s="22" t="inlineStr">
        <is>
          <t>genus</t>
        </is>
      </c>
      <c r="D16" s="22" t="inlineStr">
        <is>
          <t>Alzheimer's disease</t>
        </is>
      </c>
      <c r="E16" s="26" t="inlineStr">
        <is>
          <t>unclear</t>
        </is>
      </c>
      <c r="F16" s="22" t="inlineStr">
        <is>
          <t>treatment_effect</t>
        </is>
      </c>
      <c r="G16" s="22" t="inlineStr">
        <is>
          <t>fecal</t>
        </is>
      </c>
      <c r="H16" s="22" t="inlineStr"/>
      <c r="I16" s="22" t="inlineStr">
        <is>
          <t>low</t>
        </is>
      </c>
      <c r="J16" s="23" t="inlineStr">
        <is>
          <t>verified</t>
        </is>
      </c>
      <c r="K16" s="23" t="inlineStr">
        <is>
          <t>keep_flagged</t>
        </is>
      </c>
      <c r="L16" s="24" t="inlineStr">
        <is>
          <t>Odoribacter, Sutterella, Ruminococcus, Helicobacter, Allobaculum, Oscillospira, Rikenella, and Dorea were the most representative differential microbiota between the P and H groups... Lactobacillus, Oscillospira, Ruminococcus, Rikenella, and Helicobacter were negatively correlated with most AD phenotypes.</t>
        </is>
      </c>
      <c r="M16" s="20" t="inlineStr"/>
      <c r="N16" s="21" t="inlineStr"/>
      <c r="O16" s="21" t="inlineStr"/>
    </row>
    <row r="17" ht="20" customHeight="1">
      <c r="A17" s="16" t="inlineStr">
        <is>
          <t>Rikenella</t>
        </is>
      </c>
      <c r="B17" s="16" t="inlineStr">
        <is>
          <t>bacteria</t>
        </is>
      </c>
      <c r="C17" s="16" t="inlineStr">
        <is>
          <t>genus</t>
        </is>
      </c>
      <c r="D17" s="16" t="inlineStr">
        <is>
          <t>Alzheimer's disease</t>
        </is>
      </c>
      <c r="E17" s="26" t="inlineStr">
        <is>
          <t>unclear</t>
        </is>
      </c>
      <c r="F17" s="16" t="inlineStr">
        <is>
          <t>treatment_effect</t>
        </is>
      </c>
      <c r="G17" s="16" t="inlineStr">
        <is>
          <t>fecal</t>
        </is>
      </c>
      <c r="H17" s="16" t="inlineStr"/>
      <c r="I17" s="16" t="inlineStr">
        <is>
          <t>low</t>
        </is>
      </c>
      <c r="J17" s="18" t="inlineStr">
        <is>
          <t>verified</t>
        </is>
      </c>
      <c r="K17" s="18" t="inlineStr">
        <is>
          <t>keep_flagged</t>
        </is>
      </c>
      <c r="L17" s="19" t="inlineStr">
        <is>
          <t>Odoribacter, Sutterella, Ruminococcus, Helicobacter, Allobaculum, Oscillospira, Rikenella, and Dorea were the most representative differential microbiota between the P and H groups... Lactobacillus, Oscillospira, Ruminococcus, Rikenella, and Helicobacter were negatively correlated with most AD phenotypes.</t>
        </is>
      </c>
      <c r="M17" s="20" t="inlineStr"/>
      <c r="N17" s="21" t="inlineStr"/>
      <c r="O17"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7" showDropDown="0" showInputMessage="0" showErrorMessage="0" allowBlank="1" type="list">
      <formula1>"approved,rejected,modified"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1"/>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1594 — The altered sputum microbiome profile in patients with moderate and severe COPD exacerbations, compared to the healthy group in the Indian population</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Firmicutes</t>
        </is>
      </c>
      <c r="B3" s="16" t="inlineStr">
        <is>
          <t>bacteria</t>
        </is>
      </c>
      <c r="C3" s="16" t="inlineStr">
        <is>
          <t>phylum</t>
        </is>
      </c>
      <c r="D3" s="16" t="inlineStr">
        <is>
          <t>chronic obstructive pulmonary disease (COPD)</t>
        </is>
      </c>
      <c r="E3" s="17" t="inlineStr">
        <is>
          <t>increased</t>
        </is>
      </c>
      <c r="F3" s="16" t="inlineStr">
        <is>
          <t>disease_vs_control</t>
        </is>
      </c>
      <c r="G3" s="16" t="inlineStr">
        <is>
          <t>respiratory</t>
        </is>
      </c>
      <c r="H3" s="16" t="inlineStr"/>
      <c r="I3" s="16" t="inlineStr">
        <is>
          <t>high</t>
        </is>
      </c>
      <c r="J3" s="18" t="inlineStr">
        <is>
          <t>verified</t>
        </is>
      </c>
      <c r="K3" s="18" t="inlineStr">
        <is>
          <t>keep</t>
        </is>
      </c>
      <c r="L3" s="19" t="inlineStr">
        <is>
          <t>A significantly higher proportion of Firmicutes and Actinobacteria were present in respiratory samples from patients with moderate COPD and Proteobacteria was comparatively increased in severe COPD, whereas in healthy individuals, Bacteroidetes and Fusobacteria were present in a higher abundance compared to both COPD groups.</t>
        </is>
      </c>
      <c r="M3" s="20" t="inlineStr"/>
      <c r="N3" s="21" t="inlineStr"/>
      <c r="O3" s="21" t="inlineStr"/>
    </row>
    <row r="4" ht="20" customHeight="1">
      <c r="A4" s="22" t="inlineStr">
        <is>
          <t>Actinobacteria</t>
        </is>
      </c>
      <c r="B4" s="22" t="inlineStr">
        <is>
          <t>bacteria</t>
        </is>
      </c>
      <c r="C4" s="22" t="inlineStr">
        <is>
          <t>phylum</t>
        </is>
      </c>
      <c r="D4" s="22" t="inlineStr">
        <is>
          <t>chronic obstructive pulmonary disease (COPD)</t>
        </is>
      </c>
      <c r="E4" s="17" t="inlineStr">
        <is>
          <t>increased</t>
        </is>
      </c>
      <c r="F4" s="22" t="inlineStr">
        <is>
          <t>disease_vs_control</t>
        </is>
      </c>
      <c r="G4" s="22" t="inlineStr">
        <is>
          <t>respiratory</t>
        </is>
      </c>
      <c r="H4" s="22" t="inlineStr"/>
      <c r="I4" s="22" t="inlineStr">
        <is>
          <t>high</t>
        </is>
      </c>
      <c r="J4" s="23" t="inlineStr">
        <is>
          <t>verified</t>
        </is>
      </c>
      <c r="K4" s="23" t="inlineStr">
        <is>
          <t>keep</t>
        </is>
      </c>
      <c r="L4" s="24" t="inlineStr">
        <is>
          <t>A significantly higher proportion of Firmicutes and Actinobacteria were present in respiratory samples from patients with moderate COPD</t>
        </is>
      </c>
      <c r="M4" s="20" t="inlineStr"/>
      <c r="N4" s="21" t="inlineStr"/>
      <c r="O4" s="21" t="inlineStr"/>
    </row>
    <row r="5" ht="20" customHeight="1">
      <c r="A5" s="16" t="inlineStr">
        <is>
          <t>Proteobacteria</t>
        </is>
      </c>
      <c r="B5" s="16" t="inlineStr">
        <is>
          <t>bacteria</t>
        </is>
      </c>
      <c r="C5" s="16" t="inlineStr">
        <is>
          <t>phylum</t>
        </is>
      </c>
      <c r="D5" s="16" t="inlineStr">
        <is>
          <t>chronic obstructive pulmonary disease (COPD)</t>
        </is>
      </c>
      <c r="E5" s="17" t="inlineStr">
        <is>
          <t>increased</t>
        </is>
      </c>
      <c r="F5" s="16" t="inlineStr">
        <is>
          <t>disease_vs_control</t>
        </is>
      </c>
      <c r="G5" s="16" t="inlineStr">
        <is>
          <t>respiratory</t>
        </is>
      </c>
      <c r="H5" s="16" t="inlineStr"/>
      <c r="I5" s="16" t="inlineStr">
        <is>
          <t>medium</t>
        </is>
      </c>
      <c r="J5" s="18" t="inlineStr">
        <is>
          <t>verified</t>
        </is>
      </c>
      <c r="K5" s="18" t="inlineStr">
        <is>
          <t>keep</t>
        </is>
      </c>
      <c r="L5" s="19" t="inlineStr">
        <is>
          <t>Proteobacteria numbers were comparatively increased in severe COPD</t>
        </is>
      </c>
      <c r="M5" s="20" t="inlineStr"/>
      <c r="N5" s="21" t="inlineStr"/>
      <c r="O5" s="21" t="inlineStr"/>
    </row>
    <row r="6" ht="20" customHeight="1">
      <c r="A6" s="22" t="inlineStr">
        <is>
          <t>Bacteroidetes</t>
        </is>
      </c>
      <c r="B6" s="22" t="inlineStr">
        <is>
          <t>bacteria</t>
        </is>
      </c>
      <c r="C6" s="22" t="inlineStr">
        <is>
          <t>phylum</t>
        </is>
      </c>
      <c r="D6" s="22" t="inlineStr">
        <is>
          <t>chronic obstructive pulmonary disease (COPD)</t>
        </is>
      </c>
      <c r="E6" s="27" t="inlineStr">
        <is>
          <t>decreased</t>
        </is>
      </c>
      <c r="F6" s="22" t="inlineStr">
        <is>
          <t>disease_vs_control</t>
        </is>
      </c>
      <c r="G6" s="22" t="inlineStr">
        <is>
          <t>respiratory</t>
        </is>
      </c>
      <c r="H6" s="22" t="inlineStr"/>
      <c r="I6" s="22" t="inlineStr">
        <is>
          <t>medium</t>
        </is>
      </c>
      <c r="J6" s="23" t="inlineStr">
        <is>
          <t>verified</t>
        </is>
      </c>
      <c r="K6" s="23" t="inlineStr">
        <is>
          <t>keep</t>
        </is>
      </c>
      <c r="L6" s="24" t="inlineStr">
        <is>
          <t>in healthy individuals, Bacteroidetes and Fusobacteria were present in a higher abundance compared to both COPD groups</t>
        </is>
      </c>
      <c r="M6" s="20" t="inlineStr"/>
      <c r="N6" s="21" t="inlineStr"/>
      <c r="O6" s="21" t="inlineStr"/>
    </row>
    <row r="7" ht="20" customHeight="1">
      <c r="A7" s="16" t="inlineStr">
        <is>
          <t>Fusobacteria</t>
        </is>
      </c>
      <c r="B7" s="16" t="inlineStr">
        <is>
          <t>bacteria</t>
        </is>
      </c>
      <c r="C7" s="16" t="inlineStr">
        <is>
          <t>phylum</t>
        </is>
      </c>
      <c r="D7" s="16" t="inlineStr">
        <is>
          <t>chronic obstructive pulmonary disease (COPD)</t>
        </is>
      </c>
      <c r="E7" s="27" t="inlineStr">
        <is>
          <t>decreased</t>
        </is>
      </c>
      <c r="F7" s="16" t="inlineStr">
        <is>
          <t>disease_vs_control</t>
        </is>
      </c>
      <c r="G7" s="16" t="inlineStr">
        <is>
          <t>respiratory</t>
        </is>
      </c>
      <c r="H7" s="16" t="inlineStr"/>
      <c r="I7" s="16" t="inlineStr">
        <is>
          <t>medium</t>
        </is>
      </c>
      <c r="J7" s="18" t="inlineStr">
        <is>
          <t>verified</t>
        </is>
      </c>
      <c r="K7" s="18" t="inlineStr">
        <is>
          <t>keep</t>
        </is>
      </c>
      <c r="L7" s="19" t="inlineStr">
        <is>
          <t>in healthy individuals, Bacteroidetes and Fusobacteria were present in a higher abundance compared to both COPD groups</t>
        </is>
      </c>
      <c r="M7" s="20" t="inlineStr"/>
      <c r="N7" s="21" t="inlineStr"/>
      <c r="O7" s="21" t="inlineStr"/>
    </row>
    <row r="8" ht="20" customHeight="1">
      <c r="A8" s="22" t="inlineStr">
        <is>
          <t>Streptococcus</t>
        </is>
      </c>
      <c r="B8" s="22" t="inlineStr">
        <is>
          <t>bacteria</t>
        </is>
      </c>
      <c r="C8" s="22" t="inlineStr">
        <is>
          <t>genus</t>
        </is>
      </c>
      <c r="D8" s="22" t="inlineStr">
        <is>
          <t>chronic obstructive pulmonary disease (COPD)</t>
        </is>
      </c>
      <c r="E8" s="17" t="inlineStr">
        <is>
          <t>increased</t>
        </is>
      </c>
      <c r="F8" s="22" t="inlineStr">
        <is>
          <t>disease_vs_control</t>
        </is>
      </c>
      <c r="G8" s="22" t="inlineStr">
        <is>
          <t>respiratory</t>
        </is>
      </c>
      <c r="H8" s="22" t="inlineStr">
        <is>
          <t>&lt;0.05</t>
        </is>
      </c>
      <c r="I8" s="22" t="inlineStr">
        <is>
          <t>high</t>
        </is>
      </c>
      <c r="J8" s="23" t="inlineStr">
        <is>
          <t>verified</t>
        </is>
      </c>
      <c r="K8" s="23" t="inlineStr">
        <is>
          <t>keep</t>
        </is>
      </c>
      <c r="L8" s="24" t="inlineStr">
        <is>
          <t>An increasing abundance of Streptococcus (p&lt;0.05), and Rothia was observed in moderate COPD samples</t>
        </is>
      </c>
      <c r="M8" s="20" t="inlineStr"/>
      <c r="N8" s="21" t="inlineStr"/>
      <c r="O8" s="21" t="inlineStr"/>
    </row>
    <row r="9" ht="20" customHeight="1">
      <c r="A9" s="16" t="inlineStr">
        <is>
          <t>Rothia</t>
        </is>
      </c>
      <c r="B9" s="16" t="inlineStr">
        <is>
          <t>bacteria</t>
        </is>
      </c>
      <c r="C9" s="16" t="inlineStr">
        <is>
          <t>genus</t>
        </is>
      </c>
      <c r="D9" s="16" t="inlineStr">
        <is>
          <t>chronic obstructive pulmonary disease (COPD)</t>
        </is>
      </c>
      <c r="E9" s="17" t="inlineStr">
        <is>
          <t>increased</t>
        </is>
      </c>
      <c r="F9" s="16" t="inlineStr">
        <is>
          <t>disease_vs_control</t>
        </is>
      </c>
      <c r="G9" s="16" t="inlineStr">
        <is>
          <t>respiratory</t>
        </is>
      </c>
      <c r="H9" s="16" t="inlineStr"/>
      <c r="I9" s="16" t="inlineStr">
        <is>
          <t>high</t>
        </is>
      </c>
      <c r="J9" s="18" t="inlineStr">
        <is>
          <t>verified</t>
        </is>
      </c>
      <c r="K9" s="18" t="inlineStr">
        <is>
          <t>keep</t>
        </is>
      </c>
      <c r="L9" s="19" t="inlineStr">
        <is>
          <t>An increasing abundance of Streptococcus (p&lt;0.05), and Rothia was observed in moderate COPD samples</t>
        </is>
      </c>
      <c r="M9" s="20" t="inlineStr"/>
      <c r="N9" s="21" t="inlineStr"/>
      <c r="O9" s="21" t="inlineStr"/>
    </row>
    <row r="10" ht="20" customHeight="1">
      <c r="A10" s="22" t="inlineStr">
        <is>
          <t>Prevotella</t>
        </is>
      </c>
      <c r="B10" s="22" t="inlineStr">
        <is>
          <t>bacteria</t>
        </is>
      </c>
      <c r="C10" s="22" t="inlineStr">
        <is>
          <t>genus</t>
        </is>
      </c>
      <c r="D10" s="22" t="inlineStr">
        <is>
          <t>chronic obstructive pulmonary disease (COPD)</t>
        </is>
      </c>
      <c r="E10" s="27" t="inlineStr">
        <is>
          <t>decreased</t>
        </is>
      </c>
      <c r="F10" s="22" t="inlineStr">
        <is>
          <t>disease_vs_control</t>
        </is>
      </c>
      <c r="G10" s="22" t="inlineStr">
        <is>
          <t>respiratory</t>
        </is>
      </c>
      <c r="H10" s="22" t="inlineStr"/>
      <c r="I10" s="22" t="inlineStr">
        <is>
          <t>high</t>
        </is>
      </c>
      <c r="J10" s="23" t="inlineStr">
        <is>
          <t>verified</t>
        </is>
      </c>
      <c r="K10" s="23" t="inlineStr">
        <is>
          <t>keep</t>
        </is>
      </c>
      <c r="L10" s="24" t="inlineStr">
        <is>
          <t>Streptococcus was the predominant genus among the COPD sputum samples, whereas Prevotella was significantly higher in healthy controls.</t>
        </is>
      </c>
      <c r="M10" s="20" t="inlineStr"/>
      <c r="N10" s="21" t="inlineStr"/>
      <c r="O10" s="21" t="inlineStr"/>
    </row>
    <row r="11" ht="20" customHeight="1">
      <c r="A11" s="16" t="inlineStr">
        <is>
          <t>Pseudomonas</t>
        </is>
      </c>
      <c r="B11" s="16" t="inlineStr">
        <is>
          <t>bacteria</t>
        </is>
      </c>
      <c r="C11" s="16" t="inlineStr">
        <is>
          <t>genus</t>
        </is>
      </c>
      <c r="D11" s="16" t="inlineStr">
        <is>
          <t>chronic obstructive pulmonary disease (COPD)</t>
        </is>
      </c>
      <c r="E11" s="17" t="inlineStr">
        <is>
          <t>increased</t>
        </is>
      </c>
      <c r="F11" s="16" t="inlineStr">
        <is>
          <t>disease_vs_control</t>
        </is>
      </c>
      <c r="G11" s="16" t="inlineStr">
        <is>
          <t>respiratory</t>
        </is>
      </c>
      <c r="H11" s="16" t="inlineStr"/>
      <c r="I11" s="16" t="inlineStr">
        <is>
          <t>high</t>
        </is>
      </c>
      <c r="J11" s="18" t="inlineStr">
        <is>
          <t>verified</t>
        </is>
      </c>
      <c r="K11" s="18" t="inlineStr">
        <is>
          <t>keep</t>
        </is>
      </c>
      <c r="L11" s="19" t="inlineStr">
        <is>
          <t>Morexalla and Pseudomonas were relatively higher in severe COPD</t>
        </is>
      </c>
      <c r="M11" s="20" t="inlineStr"/>
      <c r="N11" s="21" t="inlineStr"/>
      <c r="O11" s="21" t="inlineStr"/>
    </row>
    <row r="12" ht="20" customHeight="1">
      <c r="A12" s="22" t="inlineStr">
        <is>
          <t>Leptotrichia</t>
        </is>
      </c>
      <c r="B12" s="22" t="inlineStr">
        <is>
          <t>bacteria</t>
        </is>
      </c>
      <c r="C12" s="22" t="inlineStr">
        <is>
          <t>genus</t>
        </is>
      </c>
      <c r="D12" s="22" t="inlineStr">
        <is>
          <t>chronic obstructive pulmonary disease (COPD)</t>
        </is>
      </c>
      <c r="E12" s="17" t="inlineStr">
        <is>
          <t>increased</t>
        </is>
      </c>
      <c r="F12" s="22" t="inlineStr">
        <is>
          <t>disease_vs_control</t>
        </is>
      </c>
      <c r="G12" s="22" t="inlineStr">
        <is>
          <t>respiratory</t>
        </is>
      </c>
      <c r="H12" s="22" t="inlineStr"/>
      <c r="I12" s="22" t="inlineStr">
        <is>
          <t>high</t>
        </is>
      </c>
      <c r="J12" s="23" t="inlineStr">
        <is>
          <t>verified</t>
        </is>
      </c>
      <c r="K12" s="23" t="inlineStr">
        <is>
          <t>keep</t>
        </is>
      </c>
      <c r="L12" s="24" t="inlineStr">
        <is>
          <t>For the severe COPD, genera Pseudomonas and Leptotrichia were higher</t>
        </is>
      </c>
      <c r="M12" s="20" t="inlineStr"/>
      <c r="N12" s="21" t="inlineStr"/>
      <c r="O12" s="21" t="inlineStr"/>
    </row>
    <row r="13" ht="20" customHeight="1">
      <c r="A13" s="16" t="inlineStr">
        <is>
          <t>Fusobacterium</t>
        </is>
      </c>
      <c r="B13" s="16" t="inlineStr">
        <is>
          <t>bacteria</t>
        </is>
      </c>
      <c r="C13" s="16" t="inlineStr">
        <is>
          <t>genus</t>
        </is>
      </c>
      <c r="D13" s="16" t="inlineStr">
        <is>
          <t>chronic obstructive pulmonary disease (COPD)</t>
        </is>
      </c>
      <c r="E13" s="27" t="inlineStr">
        <is>
          <t>decreased</t>
        </is>
      </c>
      <c r="F13" s="16" t="inlineStr">
        <is>
          <t>disease_vs_control</t>
        </is>
      </c>
      <c r="G13" s="16" t="inlineStr">
        <is>
          <t>respiratory</t>
        </is>
      </c>
      <c r="H13" s="16" t="inlineStr"/>
      <c r="I13" s="16" t="inlineStr">
        <is>
          <t>high</t>
        </is>
      </c>
      <c r="J13" s="18" t="inlineStr">
        <is>
          <t>verified</t>
        </is>
      </c>
      <c r="K13" s="18" t="inlineStr">
        <is>
          <t>keep</t>
        </is>
      </c>
      <c r="L13" s="19" t="inlineStr">
        <is>
          <t>Fusobacterium, Bacteroidales, Peptostreptococcus, Prevotella, Porphyromonas, Alloprevotella, etc. were dominant in healthy individuals.</t>
        </is>
      </c>
      <c r="M13" s="20" t="inlineStr"/>
      <c r="N13" s="21" t="inlineStr"/>
      <c r="O13" s="21" t="inlineStr"/>
    </row>
    <row r="14" ht="20" customHeight="1">
      <c r="A14" s="22" t="inlineStr">
        <is>
          <t>Moraxella</t>
        </is>
      </c>
      <c r="B14" s="22" t="inlineStr">
        <is>
          <t>bacteria</t>
        </is>
      </c>
      <c r="C14" s="22" t="inlineStr">
        <is>
          <t>genus</t>
        </is>
      </c>
      <c r="D14" s="22" t="inlineStr">
        <is>
          <t>chronic obstructive pulmonary disease (COPD)</t>
        </is>
      </c>
      <c r="E14" s="17" t="inlineStr">
        <is>
          <t>increased</t>
        </is>
      </c>
      <c r="F14" s="22" t="inlineStr">
        <is>
          <t>disease_vs_control</t>
        </is>
      </c>
      <c r="G14" s="22" t="inlineStr">
        <is>
          <t>respiratory</t>
        </is>
      </c>
      <c r="H14" s="22" t="inlineStr"/>
      <c r="I14" s="22" t="inlineStr">
        <is>
          <t>medium</t>
        </is>
      </c>
      <c r="J14" s="23" t="inlineStr">
        <is>
          <t>verified</t>
        </is>
      </c>
      <c r="K14" s="23" t="inlineStr">
        <is>
          <t>keep_flagged</t>
        </is>
      </c>
      <c r="L14" s="24" t="inlineStr">
        <is>
          <t>Morexalla and Pseudomonas were relatively higher in severe COPD</t>
        </is>
      </c>
      <c r="M14" s="20" t="inlineStr"/>
      <c r="N14" s="21" t="inlineStr"/>
      <c r="O14" s="21" t="inlineStr"/>
    </row>
    <row r="15" ht="20" customHeight="1">
      <c r="A15" s="16" t="inlineStr">
        <is>
          <t>Gemella</t>
        </is>
      </c>
      <c r="B15" s="16" t="inlineStr">
        <is>
          <t>bacteria</t>
        </is>
      </c>
      <c r="C15" s="16" t="inlineStr">
        <is>
          <t>genus</t>
        </is>
      </c>
      <c r="D15" s="16" t="inlineStr">
        <is>
          <t>chronic obstructive pulmonary disease (COPD)</t>
        </is>
      </c>
      <c r="E15" s="17" t="inlineStr">
        <is>
          <t>increased</t>
        </is>
      </c>
      <c r="F15" s="16" t="inlineStr">
        <is>
          <t>disease_vs_control</t>
        </is>
      </c>
      <c r="G15" s="16" t="inlineStr">
        <is>
          <t>respiratory</t>
        </is>
      </c>
      <c r="H15" s="16" t="inlineStr"/>
      <c r="I15" s="16" t="inlineStr">
        <is>
          <t>high</t>
        </is>
      </c>
      <c r="J15" s="18" t="inlineStr">
        <is>
          <t>verified</t>
        </is>
      </c>
      <c r="K15" s="18" t="inlineStr">
        <is>
          <t>keep</t>
        </is>
      </c>
      <c r="L15" s="19" t="inlineStr">
        <is>
          <t>In moderate COPD, six marker genera (LDA&gt;2) Streptococcus, Rothia, Gemella, Carnobacteriaceae, Capnocytophaga, and Weissella were identified</t>
        </is>
      </c>
      <c r="M15" s="20" t="inlineStr"/>
      <c r="N15" s="21" t="inlineStr"/>
      <c r="O15" s="21" t="inlineStr"/>
    </row>
    <row r="16" ht="20" customHeight="1">
      <c r="A16" s="22" t="inlineStr">
        <is>
          <t>Carnobacteriaceae</t>
        </is>
      </c>
      <c r="B16" s="22" t="inlineStr">
        <is>
          <t>bacteria</t>
        </is>
      </c>
      <c r="C16" s="22" t="inlineStr">
        <is>
          <t>family</t>
        </is>
      </c>
      <c r="D16" s="22" t="inlineStr">
        <is>
          <t>chronic obstructive pulmonary disease (COPD)</t>
        </is>
      </c>
      <c r="E16" s="17" t="inlineStr">
        <is>
          <t>increased</t>
        </is>
      </c>
      <c r="F16" s="22" t="inlineStr">
        <is>
          <t>disease_vs_control</t>
        </is>
      </c>
      <c r="G16" s="22" t="inlineStr">
        <is>
          <t>respiratory</t>
        </is>
      </c>
      <c r="H16" s="22" t="inlineStr"/>
      <c r="I16" s="22" t="inlineStr">
        <is>
          <t>medium</t>
        </is>
      </c>
      <c r="J16" s="23" t="inlineStr">
        <is>
          <t>verified</t>
        </is>
      </c>
      <c r="K16" s="23" t="inlineStr">
        <is>
          <t>keep</t>
        </is>
      </c>
      <c r="L16" s="24" t="inlineStr">
        <is>
          <t>In moderate COPD, six marker genera (LDA&gt;2) Streptococcus, Rothia, Gemella, Carnobacteriaceae, Capnocytophaga, and Weissella were identified</t>
        </is>
      </c>
      <c r="M16" s="20" t="inlineStr"/>
      <c r="N16" s="21" t="inlineStr"/>
      <c r="O16" s="21" t="inlineStr"/>
    </row>
    <row r="17" ht="20" customHeight="1">
      <c r="A17" s="16" t="inlineStr">
        <is>
          <t>Capnocytophaga</t>
        </is>
      </c>
      <c r="B17" s="16" t="inlineStr">
        <is>
          <t>bacteria</t>
        </is>
      </c>
      <c r="C17" s="16" t="inlineStr">
        <is>
          <t>genus</t>
        </is>
      </c>
      <c r="D17" s="16" t="inlineStr">
        <is>
          <t>chronic obstructive pulmonary disease (COPD)</t>
        </is>
      </c>
      <c r="E17" s="17" t="inlineStr">
        <is>
          <t>increased</t>
        </is>
      </c>
      <c r="F17" s="16" t="inlineStr">
        <is>
          <t>disease_vs_control</t>
        </is>
      </c>
      <c r="G17" s="16" t="inlineStr">
        <is>
          <t>respiratory</t>
        </is>
      </c>
      <c r="H17" s="16" t="inlineStr"/>
      <c r="I17" s="16" t="inlineStr">
        <is>
          <t>medium</t>
        </is>
      </c>
      <c r="J17" s="18" t="inlineStr">
        <is>
          <t>verified</t>
        </is>
      </c>
      <c r="K17" s="18" t="inlineStr">
        <is>
          <t>keep</t>
        </is>
      </c>
      <c r="L17" s="19" t="inlineStr">
        <is>
          <t>In moderate COPD, six marker genera (LDA&gt;2) Streptococcus, Rothia, Gemella, Carnobacteriaceae, Capnocytophaga, and Weissella were identified</t>
        </is>
      </c>
      <c r="M17" s="20" t="inlineStr"/>
      <c r="N17" s="21" t="inlineStr"/>
      <c r="O17" s="21" t="inlineStr"/>
    </row>
    <row r="18" ht="20" customHeight="1">
      <c r="A18" s="22" t="inlineStr">
        <is>
          <t>Weissella</t>
        </is>
      </c>
      <c r="B18" s="22" t="inlineStr">
        <is>
          <t>bacteria</t>
        </is>
      </c>
      <c r="C18" s="22" t="inlineStr">
        <is>
          <t>genus</t>
        </is>
      </c>
      <c r="D18" s="22" t="inlineStr">
        <is>
          <t>chronic obstructive pulmonary disease (COPD)</t>
        </is>
      </c>
      <c r="E18" s="17" t="inlineStr">
        <is>
          <t>increased</t>
        </is>
      </c>
      <c r="F18" s="22" t="inlineStr">
        <is>
          <t>disease_vs_control</t>
        </is>
      </c>
      <c r="G18" s="22" t="inlineStr">
        <is>
          <t>respiratory</t>
        </is>
      </c>
      <c r="H18" s="22" t="inlineStr"/>
      <c r="I18" s="22" t="inlineStr">
        <is>
          <t>medium</t>
        </is>
      </c>
      <c r="J18" s="23" t="inlineStr">
        <is>
          <t>verified</t>
        </is>
      </c>
      <c r="K18" s="23" t="inlineStr">
        <is>
          <t>keep</t>
        </is>
      </c>
      <c r="L18" s="24" t="inlineStr">
        <is>
          <t>In moderate COPD, six marker genera (LDA&gt;2) Streptococcus, Rothia, Gemella, Carnobacteriaceae, Capnocytophaga, and Weissella were identified</t>
        </is>
      </c>
      <c r="M18" s="20" t="inlineStr"/>
      <c r="N18" s="21" t="inlineStr"/>
      <c r="O18" s="21" t="inlineStr"/>
    </row>
    <row r="19" ht="20" customHeight="1">
      <c r="A19" s="16" t="inlineStr">
        <is>
          <t>Peptostreptococcus</t>
        </is>
      </c>
      <c r="B19" s="16" t="inlineStr">
        <is>
          <t>bacteria</t>
        </is>
      </c>
      <c r="C19" s="16" t="inlineStr">
        <is>
          <t>genus</t>
        </is>
      </c>
      <c r="D19" s="16" t="inlineStr">
        <is>
          <t>chronic obstructive pulmonary disease (COPD)</t>
        </is>
      </c>
      <c r="E19" s="27" t="inlineStr">
        <is>
          <t>decreased</t>
        </is>
      </c>
      <c r="F19" s="16" t="inlineStr">
        <is>
          <t>disease_vs_control</t>
        </is>
      </c>
      <c r="G19" s="16" t="inlineStr">
        <is>
          <t>respiratory</t>
        </is>
      </c>
      <c r="H19" s="16" t="inlineStr"/>
      <c r="I19" s="16" t="inlineStr">
        <is>
          <t>medium</t>
        </is>
      </c>
      <c r="J19" s="18" t="inlineStr">
        <is>
          <t>verified</t>
        </is>
      </c>
      <c r="K19" s="18" t="inlineStr">
        <is>
          <t>keep</t>
        </is>
      </c>
      <c r="L19" s="19" t="inlineStr">
        <is>
          <t>Fusobacterium, Bacteroidales, Peptostreptococcus, Prevotella, Porphyromonas, Alloprevotella, etc. were dominant in healthy individuals.</t>
        </is>
      </c>
      <c r="M19" s="20" t="inlineStr"/>
      <c r="N19" s="21" t="inlineStr"/>
      <c r="O19" s="21" t="inlineStr"/>
    </row>
    <row r="20" ht="20" customHeight="1">
      <c r="A20" s="22" t="inlineStr">
        <is>
          <t>Porphyromonas</t>
        </is>
      </c>
      <c r="B20" s="22" t="inlineStr">
        <is>
          <t>bacteria</t>
        </is>
      </c>
      <c r="C20" s="22" t="inlineStr">
        <is>
          <t>genus</t>
        </is>
      </c>
      <c r="D20" s="22" t="inlineStr">
        <is>
          <t>chronic obstructive pulmonary disease (COPD)</t>
        </is>
      </c>
      <c r="E20" s="27" t="inlineStr">
        <is>
          <t>decreased</t>
        </is>
      </c>
      <c r="F20" s="22" t="inlineStr">
        <is>
          <t>disease_vs_control</t>
        </is>
      </c>
      <c r="G20" s="22" t="inlineStr">
        <is>
          <t>respiratory</t>
        </is>
      </c>
      <c r="H20" s="22" t="inlineStr"/>
      <c r="I20" s="22" t="inlineStr">
        <is>
          <t>low</t>
        </is>
      </c>
      <c r="J20" s="23" t="inlineStr">
        <is>
          <t>verified</t>
        </is>
      </c>
      <c r="K20" s="23" t="inlineStr">
        <is>
          <t>keep_flagged</t>
        </is>
      </c>
      <c r="L20" s="24" t="inlineStr">
        <is>
          <t>Fusobacterium, Bacteroidales, Peptostreptococcus, Prevotella, Porphyromonas, Alloprevotella, etc. were dominant in healthy individuals.</t>
        </is>
      </c>
      <c r="M20" s="20" t="inlineStr"/>
      <c r="N20" s="21" t="inlineStr"/>
      <c r="O20" s="21" t="inlineStr"/>
    </row>
    <row r="21" ht="20" customHeight="1">
      <c r="A21" s="16" t="inlineStr">
        <is>
          <t>Alloprevotella</t>
        </is>
      </c>
      <c r="B21" s="16" t="inlineStr">
        <is>
          <t>bacteria</t>
        </is>
      </c>
      <c r="C21" s="16" t="inlineStr">
        <is>
          <t>genus</t>
        </is>
      </c>
      <c r="D21" s="16" t="inlineStr">
        <is>
          <t>chronic obstructive pulmonary disease (COPD)</t>
        </is>
      </c>
      <c r="E21" s="27" t="inlineStr">
        <is>
          <t>decreased</t>
        </is>
      </c>
      <c r="F21" s="16" t="inlineStr">
        <is>
          <t>disease_vs_control</t>
        </is>
      </c>
      <c r="G21" s="16" t="inlineStr">
        <is>
          <t>respiratory</t>
        </is>
      </c>
      <c r="H21" s="16" t="inlineStr"/>
      <c r="I21" s="16" t="inlineStr">
        <is>
          <t>low</t>
        </is>
      </c>
      <c r="J21" s="18" t="inlineStr">
        <is>
          <t>verified</t>
        </is>
      </c>
      <c r="K21" s="18" t="inlineStr">
        <is>
          <t>keep_flagged</t>
        </is>
      </c>
      <c r="L21" s="19" t="inlineStr">
        <is>
          <t>Fusobacterium, Bacteroidales, Peptostreptococcus, Prevotella, Porphyromonas, Alloprevotella, etc. were dominant in healthy individuals.</t>
        </is>
      </c>
      <c r="M21" s="20" t="inlineStr"/>
      <c r="N21" s="21" t="inlineStr"/>
      <c r="O21"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21" showDropDown="0" showInputMessage="0" showErrorMessage="0" allowBlank="1" type="list">
      <formula1>"approved,rejected,modified"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1595 — Variations of the lung microbiome and immune response in mechanically ventilated surgical patients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Staphylococcus aureus</t>
        </is>
      </c>
      <c r="B3" s="16" t="inlineStr">
        <is>
          <t>bacteria</t>
        </is>
      </c>
      <c r="C3" s="16" t="inlineStr">
        <is>
          <t>species</t>
        </is>
      </c>
      <c r="D3" s="16" t="inlineStr">
        <is>
          <t>ventilator-associated pneumonia</t>
        </is>
      </c>
      <c r="E3" s="17" t="inlineStr">
        <is>
          <t>increased</t>
        </is>
      </c>
      <c r="F3" s="16" t="inlineStr">
        <is>
          <t>disease_vs_control</t>
        </is>
      </c>
      <c r="G3" s="16" t="inlineStr">
        <is>
          <t>lung</t>
        </is>
      </c>
      <c r="H3" s="16" t="inlineStr"/>
      <c r="I3" s="16" t="inlineStr">
        <is>
          <t>medium</t>
        </is>
      </c>
      <c r="J3" s="18" t="inlineStr">
        <is>
          <t>verified</t>
        </is>
      </c>
      <c r="K3" s="18" t="inlineStr">
        <is>
          <t>keep</t>
        </is>
      </c>
      <c r="L3" s="19" t="inlineStr">
        <is>
          <t>&gt;100,000 S. aureus, &gt;100,000 S. pneumoniae [BAL184, culture-positive, VAP=Yes]</t>
        </is>
      </c>
      <c r="M3" s="20" t="inlineStr"/>
      <c r="N3" s="21" t="inlineStr"/>
      <c r="O3" s="21" t="inlineStr"/>
    </row>
    <row r="4" ht="20" customHeight="1">
      <c r="A4" s="22" t="inlineStr">
        <is>
          <t>Streptococcus pneumoniae</t>
        </is>
      </c>
      <c r="B4" s="22" t="inlineStr">
        <is>
          <t>bacteria</t>
        </is>
      </c>
      <c r="C4" s="22" t="inlineStr">
        <is>
          <t>species</t>
        </is>
      </c>
      <c r="D4" s="22" t="inlineStr">
        <is>
          <t>ventilator-associated pneumonia</t>
        </is>
      </c>
      <c r="E4" s="17" t="inlineStr">
        <is>
          <t>increased</t>
        </is>
      </c>
      <c r="F4" s="22" t="inlineStr">
        <is>
          <t>disease_vs_control</t>
        </is>
      </c>
      <c r="G4" s="22" t="inlineStr">
        <is>
          <t>lung</t>
        </is>
      </c>
      <c r="H4" s="22" t="inlineStr"/>
      <c r="I4" s="22" t="inlineStr">
        <is>
          <t>medium</t>
        </is>
      </c>
      <c r="J4" s="23" t="inlineStr">
        <is>
          <t>verified</t>
        </is>
      </c>
      <c r="K4" s="23" t="inlineStr">
        <is>
          <t>keep</t>
        </is>
      </c>
      <c r="L4" s="24" t="inlineStr">
        <is>
          <t>&gt;100,000 S. aureus, &gt;100,000 S. pneumoniae [BAL184, culture-positive, VAP=Yes]</t>
        </is>
      </c>
      <c r="M4" s="20" t="inlineStr"/>
      <c r="N4" s="21" t="inlineStr"/>
      <c r="O4" s="21" t="inlineStr"/>
    </row>
    <row r="5" ht="20" customHeight="1">
      <c r="A5" s="16" t="inlineStr">
        <is>
          <t>Citrobacter koseri</t>
        </is>
      </c>
      <c r="B5" s="16" t="inlineStr">
        <is>
          <t>bacteria</t>
        </is>
      </c>
      <c r="C5" s="16" t="inlineStr">
        <is>
          <t>species</t>
        </is>
      </c>
      <c r="D5" s="16" t="inlineStr">
        <is>
          <t>ventilator-associated pneumonia</t>
        </is>
      </c>
      <c r="E5" s="17" t="inlineStr">
        <is>
          <t>increased</t>
        </is>
      </c>
      <c r="F5" s="16" t="inlineStr">
        <is>
          <t>disease_vs_control</t>
        </is>
      </c>
      <c r="G5" s="16" t="inlineStr">
        <is>
          <t>lung</t>
        </is>
      </c>
      <c r="H5" s="16" t="inlineStr"/>
      <c r="I5" s="16" t="inlineStr">
        <is>
          <t>medium</t>
        </is>
      </c>
      <c r="J5" s="18" t="inlineStr">
        <is>
          <t>verified</t>
        </is>
      </c>
      <c r="K5" s="18" t="inlineStr">
        <is>
          <t>keep</t>
        </is>
      </c>
      <c r="L5" s="19" t="inlineStr">
        <is>
          <t>&gt;100,000 Citrobacter koseri, 40,000 P. aeruginosa [BAL195, culture-positive, VAP=Yes]</t>
        </is>
      </c>
      <c r="M5" s="20" t="inlineStr"/>
      <c r="N5" s="21" t="inlineStr"/>
      <c r="O5" s="21" t="inlineStr"/>
    </row>
    <row r="6" ht="20" customHeight="1">
      <c r="A6" s="22" t="inlineStr">
        <is>
          <t>Pseudomonas aeruginosa</t>
        </is>
      </c>
      <c r="B6" s="22" t="inlineStr">
        <is>
          <t>bacteria</t>
        </is>
      </c>
      <c r="C6" s="22" t="inlineStr">
        <is>
          <t>species</t>
        </is>
      </c>
      <c r="D6" s="22" t="inlineStr">
        <is>
          <t>ventilator-associated pneumonia</t>
        </is>
      </c>
      <c r="E6" s="17" t="inlineStr">
        <is>
          <t>increased</t>
        </is>
      </c>
      <c r="F6" s="22" t="inlineStr">
        <is>
          <t>disease_vs_control</t>
        </is>
      </c>
      <c r="G6" s="22" t="inlineStr">
        <is>
          <t>lung</t>
        </is>
      </c>
      <c r="H6" s="22" t="inlineStr"/>
      <c r="I6" s="22" t="inlineStr">
        <is>
          <t>medium</t>
        </is>
      </c>
      <c r="J6" s="23" t="inlineStr">
        <is>
          <t>verified</t>
        </is>
      </c>
      <c r="K6" s="23" t="inlineStr">
        <is>
          <t>keep</t>
        </is>
      </c>
      <c r="L6" s="24" t="inlineStr">
        <is>
          <t>&gt;100,000 Citrobacter koseri, 40,000 P. aeruginosa [BAL195, culture-positive, VAP=Yes]; &gt;100,000 Pseudomonas, &gt;100,000 Enterobacter spp., 100,000 RTF [BAL204B, culture-positive, VAP=Yes]</t>
        </is>
      </c>
      <c r="M6" s="20" t="inlineStr"/>
      <c r="N6" s="21" t="inlineStr"/>
      <c r="O6" s="21" t="inlineStr"/>
    </row>
    <row r="7" ht="20" customHeight="1">
      <c r="A7" s="16" t="inlineStr">
        <is>
          <t>Streptococcus</t>
        </is>
      </c>
      <c r="B7" s="16" t="inlineStr">
        <is>
          <t>bacteria</t>
        </is>
      </c>
      <c r="C7" s="16" t="inlineStr">
        <is>
          <t>genus</t>
        </is>
      </c>
      <c r="D7" s="16" t="inlineStr">
        <is>
          <t>ventilator-associated pneumonia</t>
        </is>
      </c>
      <c r="E7" s="17" t="inlineStr">
        <is>
          <t>increased</t>
        </is>
      </c>
      <c r="F7" s="16" t="inlineStr">
        <is>
          <t>disease_vs_control</t>
        </is>
      </c>
      <c r="G7" s="16" t="inlineStr">
        <is>
          <t>lung</t>
        </is>
      </c>
      <c r="H7" s="16" t="inlineStr"/>
      <c r="I7" s="16" t="inlineStr">
        <is>
          <t>medium</t>
        </is>
      </c>
      <c r="J7" s="18" t="inlineStr">
        <is>
          <t>verified</t>
        </is>
      </c>
      <c r="K7" s="18" t="inlineStr">
        <is>
          <t>keep</t>
        </is>
      </c>
      <c r="L7" s="19" t="inlineStr">
        <is>
          <t>Both the C+ and RTF samples were dominated by a few species, including several potentially pathogenic microorganisms: Streptococcus spp., Staphylococcus spp., Neisseria spp., and Fusobacterium spp. [...] &gt;100,000 Streptococci (NOT S. pneumoniae or Enterococcus) [BAL204, C+, VAP=Yes]</t>
        </is>
      </c>
      <c r="M7" s="20" t="inlineStr"/>
      <c r="N7" s="21" t="inlineStr"/>
      <c r="O7" s="21" t="inlineStr"/>
    </row>
    <row r="8" ht="20" customHeight="1">
      <c r="A8" s="22" t="inlineStr">
        <is>
          <t>Enterobacter</t>
        </is>
      </c>
      <c r="B8" s="22" t="inlineStr">
        <is>
          <t>bacteria</t>
        </is>
      </c>
      <c r="C8" s="22" t="inlineStr">
        <is>
          <t>genus</t>
        </is>
      </c>
      <c r="D8" s="22" t="inlineStr">
        <is>
          <t>ventilator-associated pneumonia</t>
        </is>
      </c>
      <c r="E8" s="17" t="inlineStr">
        <is>
          <t>increased</t>
        </is>
      </c>
      <c r="F8" s="22" t="inlineStr">
        <is>
          <t>disease_vs_control</t>
        </is>
      </c>
      <c r="G8" s="22" t="inlineStr">
        <is>
          <t>lung</t>
        </is>
      </c>
      <c r="H8" s="22" t="inlineStr"/>
      <c r="I8" s="22" t="inlineStr">
        <is>
          <t>medium</t>
        </is>
      </c>
      <c r="J8" s="23" t="inlineStr">
        <is>
          <t>verified</t>
        </is>
      </c>
      <c r="K8" s="23" t="inlineStr">
        <is>
          <t>keep</t>
        </is>
      </c>
      <c r="L8" s="24" t="inlineStr">
        <is>
          <t>&gt;100,000 Pseudomonas, &gt;100,000 Enterobacter spp., 100,000 RTF [BAL204B, culture-positive, VAP=Yes]</t>
        </is>
      </c>
      <c r="M8" s="20" t="inlineStr"/>
      <c r="N8" s="21" t="inlineStr"/>
      <c r="O8" s="21" t="inlineStr"/>
    </row>
    <row r="9" ht="20" customHeight="1">
      <c r="A9" s="16" t="inlineStr">
        <is>
          <t>Haemophilus influenzae</t>
        </is>
      </c>
      <c r="B9" s="16" t="inlineStr">
        <is>
          <t>bacteria</t>
        </is>
      </c>
      <c r="C9" s="16" t="inlineStr">
        <is>
          <t>species</t>
        </is>
      </c>
      <c r="D9" s="16" t="inlineStr">
        <is>
          <t>ventilator-associated pneumonia</t>
        </is>
      </c>
      <c r="E9" s="17" t="inlineStr">
        <is>
          <t>increased</t>
        </is>
      </c>
      <c r="F9" s="16" t="inlineStr">
        <is>
          <t>disease_vs_control</t>
        </is>
      </c>
      <c r="G9" s="16" t="inlineStr">
        <is>
          <t>lung</t>
        </is>
      </c>
      <c r="H9" s="16" t="inlineStr"/>
      <c r="I9" s="16" t="inlineStr">
        <is>
          <t>medium</t>
        </is>
      </c>
      <c r="J9" s="18" t="inlineStr">
        <is>
          <t>verified</t>
        </is>
      </c>
      <c r="K9" s="18" t="inlineStr">
        <is>
          <t>keep</t>
        </is>
      </c>
      <c r="L9" s="19" t="inlineStr">
        <is>
          <t>&gt;100,000 H. influenza, light RTF [BAL206, culture-positive, VAP=Yes]</t>
        </is>
      </c>
      <c r="M9" s="20" t="inlineStr"/>
      <c r="N9" s="21" t="inlineStr"/>
      <c r="O9" s="21" t="inlineStr"/>
    </row>
    <row r="10" ht="20" customHeight="1">
      <c r="A10" s="22" t="inlineStr">
        <is>
          <t>Moraxella catarrhalis</t>
        </is>
      </c>
      <c r="B10" s="22" t="inlineStr">
        <is>
          <t>bacteria</t>
        </is>
      </c>
      <c r="C10" s="22" t="inlineStr">
        <is>
          <t>species</t>
        </is>
      </c>
      <c r="D10" s="22" t="inlineStr">
        <is>
          <t>ventilator-associated pneumonia</t>
        </is>
      </c>
      <c r="E10" s="17" t="inlineStr">
        <is>
          <t>increased</t>
        </is>
      </c>
      <c r="F10" s="22" t="inlineStr">
        <is>
          <t>disease_vs_control</t>
        </is>
      </c>
      <c r="G10" s="22" t="inlineStr">
        <is>
          <t>lung</t>
        </is>
      </c>
      <c r="H10" s="22" t="inlineStr"/>
      <c r="I10" s="22" t="inlineStr">
        <is>
          <t>medium</t>
        </is>
      </c>
      <c r="J10" s="23" t="inlineStr">
        <is>
          <t>verified</t>
        </is>
      </c>
      <c r="K10" s="23" t="inlineStr">
        <is>
          <t>keep</t>
        </is>
      </c>
      <c r="L10" s="24" t="inlineStr">
        <is>
          <t>&gt;100,000 M. catarrhalis, 20,000 K. pneumoniae [BAL221, culture-positive, VAP=Yes]</t>
        </is>
      </c>
      <c r="M10" s="20" t="inlineStr"/>
      <c r="N10" s="21" t="inlineStr"/>
      <c r="O10" s="21" t="inlineStr"/>
    </row>
    <row r="11" ht="20" customHeight="1">
      <c r="A11" s="16" t="inlineStr">
        <is>
          <t>Klebsiella pneumoniae</t>
        </is>
      </c>
      <c r="B11" s="16" t="inlineStr">
        <is>
          <t>bacteria</t>
        </is>
      </c>
      <c r="C11" s="16" t="inlineStr">
        <is>
          <t>species</t>
        </is>
      </c>
      <c r="D11" s="16" t="inlineStr">
        <is>
          <t>ventilator-associated pneumonia</t>
        </is>
      </c>
      <c r="E11" s="17" t="inlineStr">
        <is>
          <t>increased</t>
        </is>
      </c>
      <c r="F11" s="16" t="inlineStr">
        <is>
          <t>disease_vs_control</t>
        </is>
      </c>
      <c r="G11" s="16" t="inlineStr">
        <is>
          <t>lung</t>
        </is>
      </c>
      <c r="H11" s="16" t="inlineStr"/>
      <c r="I11" s="16" t="inlineStr">
        <is>
          <t>medium</t>
        </is>
      </c>
      <c r="J11" s="18" t="inlineStr">
        <is>
          <t>verified</t>
        </is>
      </c>
      <c r="K11" s="18" t="inlineStr">
        <is>
          <t>keep</t>
        </is>
      </c>
      <c r="L11" s="19" t="inlineStr">
        <is>
          <t>&gt;100,000 M. catarrhalis, 20,000 K. pneumoniae [BAL221, culture-positive, VAP=Yes]</t>
        </is>
      </c>
      <c r="M11" s="20" t="inlineStr"/>
      <c r="N11" s="21" t="inlineStr"/>
      <c r="O11" s="21" t="inlineStr"/>
    </row>
    <row r="12" ht="20" customHeight="1">
      <c r="A12" s="22" t="inlineStr">
        <is>
          <t>Acinetobacter baumannii</t>
        </is>
      </c>
      <c r="B12" s="22" t="inlineStr">
        <is>
          <t>bacteria</t>
        </is>
      </c>
      <c r="C12" s="22" t="inlineStr">
        <is>
          <t>species</t>
        </is>
      </c>
      <c r="D12" s="22" t="inlineStr">
        <is>
          <t>ventilator-associated pneumonia</t>
        </is>
      </c>
      <c r="E12" s="17" t="inlineStr">
        <is>
          <t>increased</t>
        </is>
      </c>
      <c r="F12" s="22" t="inlineStr">
        <is>
          <t>disease_vs_control</t>
        </is>
      </c>
      <c r="G12" s="22" t="inlineStr">
        <is>
          <t>lung</t>
        </is>
      </c>
      <c r="H12" s="22" t="inlineStr"/>
      <c r="I12" s="22" t="inlineStr">
        <is>
          <t>medium</t>
        </is>
      </c>
      <c r="J12" s="23" t="inlineStr">
        <is>
          <t>verified</t>
        </is>
      </c>
      <c r="K12" s="23" t="inlineStr">
        <is>
          <t>keep_flagged</t>
        </is>
      </c>
      <c r="L12" s="24" t="inlineStr">
        <is>
          <t>&gt;100,000 Acinetobacter baumannii/ haemolyticus, &gt;100,000 RTF [BAL226, culture-positive, VAP=No, Inflammation=Yes]</t>
        </is>
      </c>
      <c r="M12" s="20" t="inlineStr"/>
      <c r="N12" s="21" t="inlineStr"/>
      <c r="O12" s="21" t="inlineStr"/>
    </row>
    <row r="13" ht="20" customHeight="1">
      <c r="A13" s="16" t="inlineStr">
        <is>
          <t>Staphylococcus</t>
        </is>
      </c>
      <c r="B13" s="16" t="inlineStr">
        <is>
          <t>bacteria</t>
        </is>
      </c>
      <c r="C13" s="16" t="inlineStr">
        <is>
          <t>genus</t>
        </is>
      </c>
      <c r="D13" s="16" t="inlineStr">
        <is>
          <t>ventilator-associated pneumonia</t>
        </is>
      </c>
      <c r="E13" s="17" t="inlineStr">
        <is>
          <t>increased</t>
        </is>
      </c>
      <c r="F13" s="16" t="inlineStr">
        <is>
          <t>disease_vs_control</t>
        </is>
      </c>
      <c r="G13" s="16" t="inlineStr">
        <is>
          <t>lung</t>
        </is>
      </c>
      <c r="H13" s="16" t="inlineStr"/>
      <c r="I13" s="16" t="inlineStr">
        <is>
          <t>medium</t>
        </is>
      </c>
      <c r="J13" s="18" t="inlineStr">
        <is>
          <t>verified</t>
        </is>
      </c>
      <c r="K13" s="18" t="inlineStr">
        <is>
          <t>keep</t>
        </is>
      </c>
      <c r="L13" s="19" t="inlineStr">
        <is>
          <t>Both the C+ and RTF samples were dominated by a few species, including several potentially pathogenic microorganisms: Streptococcus spp., Staphylococcus spp., Neisseria spp., and Fusobacterium spp.</t>
        </is>
      </c>
      <c r="M13" s="20" t="inlineStr"/>
      <c r="N13" s="21" t="inlineStr"/>
      <c r="O13" s="21" t="inlineStr"/>
    </row>
    <row r="14" ht="20" customHeight="1">
      <c r="A14" s="22" t="inlineStr">
        <is>
          <t>Neisseria</t>
        </is>
      </c>
      <c r="B14" s="22" t="inlineStr">
        <is>
          <t>bacteria</t>
        </is>
      </c>
      <c r="C14" s="22" t="inlineStr">
        <is>
          <t>genus</t>
        </is>
      </c>
      <c r="D14" s="22" t="inlineStr">
        <is>
          <t>ventilator-associated pneumonia</t>
        </is>
      </c>
      <c r="E14" s="17" t="inlineStr">
        <is>
          <t>increased</t>
        </is>
      </c>
      <c r="F14" s="22" t="inlineStr">
        <is>
          <t>disease_vs_control</t>
        </is>
      </c>
      <c r="G14" s="22" t="inlineStr">
        <is>
          <t>lung</t>
        </is>
      </c>
      <c r="H14" s="22" t="inlineStr"/>
      <c r="I14" s="22" t="inlineStr">
        <is>
          <t>medium</t>
        </is>
      </c>
      <c r="J14" s="23" t="inlineStr">
        <is>
          <t>verified</t>
        </is>
      </c>
      <c r="K14" s="23" t="inlineStr">
        <is>
          <t>keep</t>
        </is>
      </c>
      <c r="L14" s="24" t="inlineStr">
        <is>
          <t>Both the C+ and RTF samples were dominated by a few species, including several potentially pathogenic microorganisms: Streptococcus spp., Staphylococcus spp., Neisseria spp., and Fusobacterium spp.</t>
        </is>
      </c>
      <c r="M14" s="20" t="inlineStr"/>
      <c r="N14" s="21" t="inlineStr"/>
      <c r="O14" s="21" t="inlineStr"/>
    </row>
    <row r="15" ht="20" customHeight="1">
      <c r="A15" s="16" t="inlineStr">
        <is>
          <t>Fusobacterium</t>
        </is>
      </c>
      <c r="B15" s="16" t="inlineStr">
        <is>
          <t>bacteria</t>
        </is>
      </c>
      <c r="C15" s="16" t="inlineStr">
        <is>
          <t>genus</t>
        </is>
      </c>
      <c r="D15" s="16" t="inlineStr">
        <is>
          <t>ventilator-associated pneumonia</t>
        </is>
      </c>
      <c r="E15" s="17" t="inlineStr">
        <is>
          <t>increased</t>
        </is>
      </c>
      <c r="F15" s="16" t="inlineStr">
        <is>
          <t>disease_vs_control</t>
        </is>
      </c>
      <c r="G15" s="16" t="inlineStr">
        <is>
          <t>lung</t>
        </is>
      </c>
      <c r="H15" s="16" t="inlineStr"/>
      <c r="I15" s="16" t="inlineStr">
        <is>
          <t>low</t>
        </is>
      </c>
      <c r="J15" s="18" t="inlineStr">
        <is>
          <t>verified</t>
        </is>
      </c>
      <c r="K15" s="18" t="inlineStr">
        <is>
          <t>keep_flagged</t>
        </is>
      </c>
      <c r="L15" s="19" t="inlineStr">
        <is>
          <t>The two BAL samples that exhibited elevated cytokine levels (BAL224 and BAL229) relative to other RTF BAL samples were both comprised of ~20% Streptococcus, in addition to ~60% Fusobacterium and ~52% Prevotella, respectively. [...] Both the C+ and RTF samples were dominated by a few species, including several potentially pathogenic microorganisms: Streptococcus spp., Staphylococcus spp., Neisseria spp., and Fusobacterium spp.</t>
        </is>
      </c>
      <c r="M15" s="20" t="inlineStr"/>
      <c r="N15" s="21" t="inlineStr"/>
      <c r="O15" s="21" t="inlineStr"/>
    </row>
    <row r="16" ht="20" customHeight="1">
      <c r="A16" s="22" t="inlineStr">
        <is>
          <t>Prevotella</t>
        </is>
      </c>
      <c r="B16" s="22" t="inlineStr">
        <is>
          <t>bacteria</t>
        </is>
      </c>
      <c r="C16" s="22" t="inlineStr">
        <is>
          <t>genus</t>
        </is>
      </c>
      <c r="D16" s="22" t="inlineStr">
        <is>
          <t>ventilator-associated pneumonia</t>
        </is>
      </c>
      <c r="E16" s="17" t="inlineStr">
        <is>
          <t>increased</t>
        </is>
      </c>
      <c r="F16" s="22" t="inlineStr">
        <is>
          <t>disease_vs_control</t>
        </is>
      </c>
      <c r="G16" s="22" t="inlineStr">
        <is>
          <t>lung</t>
        </is>
      </c>
      <c r="H16" s="22" t="inlineStr"/>
      <c r="I16" s="22" t="inlineStr">
        <is>
          <t>low</t>
        </is>
      </c>
      <c r="J16" s="23" t="inlineStr">
        <is>
          <t>verified</t>
        </is>
      </c>
      <c r="K16" s="23" t="inlineStr">
        <is>
          <t>keep_flagged</t>
        </is>
      </c>
      <c r="L16" s="24" t="inlineStr">
        <is>
          <t>The two BAL samples that exhibited elevated cytokine levels (BAL224 and BAL229) relative to other RTF BAL samples were both comprised of ~20% Streptococcus, in addition to ~60% Fusobacterium and ~52% Prevotella, respectively.</t>
        </is>
      </c>
      <c r="M16" s="20" t="inlineStr"/>
      <c r="N16" s="21" t="inlineStr"/>
      <c r="O16" s="21" t="inlineStr"/>
    </row>
    <row r="17" ht="20" customHeight="1">
      <c r="A17" s="16" t="inlineStr">
        <is>
          <t>Bacteria</t>
        </is>
      </c>
      <c r="B17" s="16" t="inlineStr">
        <is>
          <t>bacteria</t>
        </is>
      </c>
      <c r="C17" s="16" t="inlineStr">
        <is>
          <t>phylum</t>
        </is>
      </c>
      <c r="D17" s="16" t="inlineStr">
        <is>
          <t>ventilator-associated pneumonia</t>
        </is>
      </c>
      <c r="E17" s="27" t="inlineStr">
        <is>
          <t>decreased</t>
        </is>
      </c>
      <c r="F17" s="16" t="inlineStr">
        <is>
          <t>disease_vs_control</t>
        </is>
      </c>
      <c r="G17" s="16" t="inlineStr">
        <is>
          <t>lung</t>
        </is>
      </c>
      <c r="H17" s="16" t="inlineStr">
        <is>
          <t>&lt; 0.01</t>
        </is>
      </c>
      <c r="I17" s="16" t="inlineStr">
        <is>
          <t>high</t>
        </is>
      </c>
      <c r="J17" s="18" t="inlineStr">
        <is>
          <t>verified</t>
        </is>
      </c>
      <c r="K17" s="18" t="inlineStr">
        <is>
          <t>keep</t>
        </is>
      </c>
      <c r="L17" s="19" t="inlineStr">
        <is>
          <t>The diversity of C-, C+, and RTF samples were significantly different from each other (Tukey's HSD P values &lt; 0.01). The C- samples had the highest diversity and C+ samples had the lowest diversity among the three groups (the Shannon-Wiener index for C- was 3.97 ± 0.65, C+ was 0.77 ± 0.36, and RTF was 2.06 ± 0.73 [mean ± standard deviation (SD)])</t>
        </is>
      </c>
      <c r="M17" s="20" t="inlineStr"/>
      <c r="N17" s="21" t="inlineStr"/>
      <c r="O17"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7" showDropDown="0" showInputMessage="0" showErrorMessage="0" allowBlank="1" type="list">
      <formula1>"approved,rejected,modified"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1"/>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1638 — Fecal microbiota transplant overcomes resistance to anti-PD-1 therapy in melanoma patients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Lachnospiraceae</t>
        </is>
      </c>
      <c r="B3" s="16" t="inlineStr">
        <is>
          <t>bacteria</t>
        </is>
      </c>
      <c r="C3" s="16" t="inlineStr">
        <is>
          <t>family</t>
        </is>
      </c>
      <c r="D3" s="16" t="inlineStr">
        <is>
          <t>melanoma</t>
        </is>
      </c>
      <c r="E3" s="17" t="inlineStr">
        <is>
          <t>increased</t>
        </is>
      </c>
      <c r="F3" s="16" t="inlineStr">
        <is>
          <t>treatment_effect</t>
        </is>
      </c>
      <c r="G3" s="16" t="inlineStr">
        <is>
          <t>fecal</t>
        </is>
      </c>
      <c r="H3" s="16" t="inlineStr"/>
      <c r="I3" s="16" t="inlineStr">
        <is>
          <t>high</t>
        </is>
      </c>
      <c r="J3" s="18" t="inlineStr">
        <is>
          <t>verified</t>
        </is>
      </c>
      <c r="K3" s="18" t="inlineStr">
        <is>
          <t>keep</t>
        </is>
      </c>
      <c r="L3" s="19" t="inlineStr">
        <is>
          <t>Most of the significantly enriched taxa in Rs belonged to the phyla Firmicutes (Lachnospiraceae and Ruminococcaceae families) and Actinobacteria (Bifidobacteriaceae and Coriobacteriaceae families), whereas most of the bacteria decreased in Rs belonged to phylum Bacteroidetes</t>
        </is>
      </c>
      <c r="M3" s="20" t="inlineStr"/>
      <c r="N3" s="21" t="inlineStr"/>
      <c r="O3" s="21" t="inlineStr"/>
    </row>
    <row r="4" ht="20" customHeight="1">
      <c r="A4" s="22" t="inlineStr">
        <is>
          <t>Ruminococcaceae</t>
        </is>
      </c>
      <c r="B4" s="22" t="inlineStr">
        <is>
          <t>bacteria</t>
        </is>
      </c>
      <c r="C4" s="22" t="inlineStr">
        <is>
          <t>family</t>
        </is>
      </c>
      <c r="D4" s="22" t="inlineStr">
        <is>
          <t>melanoma</t>
        </is>
      </c>
      <c r="E4" s="17" t="inlineStr">
        <is>
          <t>increased</t>
        </is>
      </c>
      <c r="F4" s="22" t="inlineStr">
        <is>
          <t>treatment_effect</t>
        </is>
      </c>
      <c r="G4" s="22" t="inlineStr">
        <is>
          <t>fecal</t>
        </is>
      </c>
      <c r="H4" s="22" t="inlineStr"/>
      <c r="I4" s="22" t="inlineStr">
        <is>
          <t>high</t>
        </is>
      </c>
      <c r="J4" s="23" t="inlineStr">
        <is>
          <t>verified</t>
        </is>
      </c>
      <c r="K4" s="23" t="inlineStr">
        <is>
          <t>keep</t>
        </is>
      </c>
      <c r="L4" s="24" t="inlineStr">
        <is>
          <t>Most of the significantly enriched taxa in Rs belonged to the phyla Firmicutes (Lachnospiraceae and Ruminococcaceae families) and Actinobacteria (Bifidobacteriaceae and Coriobacteriaceae families), whereas most of the bacteria decreased in Rs belonged to phylum Bacteroidetes</t>
        </is>
      </c>
      <c r="M4" s="20" t="inlineStr"/>
      <c r="N4" s="21" t="inlineStr"/>
      <c r="O4" s="21" t="inlineStr"/>
    </row>
    <row r="5" ht="20" customHeight="1">
      <c r="A5" s="16" t="inlineStr">
        <is>
          <t>Ruminococcaceae</t>
        </is>
      </c>
      <c r="B5" s="16" t="inlineStr">
        <is>
          <t>bacteria</t>
        </is>
      </c>
      <c r="C5" s="16" t="inlineStr">
        <is>
          <t>family</t>
        </is>
      </c>
      <c r="D5" s="16" t="inlineStr">
        <is>
          <t>melanoma</t>
        </is>
      </c>
      <c r="E5" s="27" t="inlineStr">
        <is>
          <t>decreased</t>
        </is>
      </c>
      <c r="F5" s="16" t="inlineStr">
        <is>
          <t>treatment_effect</t>
        </is>
      </c>
      <c r="G5" s="16" t="inlineStr">
        <is>
          <t>fecal</t>
        </is>
      </c>
      <c r="H5" s="16" t="inlineStr"/>
      <c r="I5" s="16" t="inlineStr">
        <is>
          <t>medium</t>
        </is>
      </c>
      <c r="J5" s="18" t="inlineStr">
        <is>
          <t>verified</t>
        </is>
      </c>
      <c r="K5" s="18" t="inlineStr">
        <is>
          <t>keep_flagged</t>
        </is>
      </c>
      <c r="L5" s="19" t="inlineStr">
        <is>
          <t>After antibiotics, metagenomic data revealed pronounced changes in microbial community composition (loss of Faecalibacterium prausnitzii, Alistipes spp., and Ruminococcaceae spp.), which correlated with clinical progression.</t>
        </is>
      </c>
      <c r="M5" s="20" t="inlineStr"/>
      <c r="N5" s="21" t="inlineStr"/>
      <c r="O5" s="21" t="inlineStr"/>
    </row>
    <row r="6" ht="20" customHeight="1">
      <c r="A6" s="22" t="inlineStr">
        <is>
          <t>Bifidobacteriaceae</t>
        </is>
      </c>
      <c r="B6" s="22" t="inlineStr">
        <is>
          <t>bacteria</t>
        </is>
      </c>
      <c r="C6" s="22" t="inlineStr">
        <is>
          <t>family</t>
        </is>
      </c>
      <c r="D6" s="22" t="inlineStr">
        <is>
          <t>melanoma</t>
        </is>
      </c>
      <c r="E6" s="17" t="inlineStr">
        <is>
          <t>increased</t>
        </is>
      </c>
      <c r="F6" s="22" t="inlineStr">
        <is>
          <t>treatment_effect</t>
        </is>
      </c>
      <c r="G6" s="22" t="inlineStr">
        <is>
          <t>fecal</t>
        </is>
      </c>
      <c r="H6" s="22" t="inlineStr"/>
      <c r="I6" s="22" t="inlineStr">
        <is>
          <t>high</t>
        </is>
      </c>
      <c r="J6" s="23" t="inlineStr">
        <is>
          <t>verified</t>
        </is>
      </c>
      <c r="K6" s="23" t="inlineStr">
        <is>
          <t>keep</t>
        </is>
      </c>
      <c r="L6" s="24" t="inlineStr">
        <is>
          <t>Most of the significantly enriched taxa in Rs belonged to the phyla Firmicutes (Lachnospiraceae and Ruminococcaceae families) and Actinobacteria (Bifidobacteriaceae and Coriobacteriaceae families), whereas most of the bacteria decreased in Rs belonged to phylum Bacteroidetes</t>
        </is>
      </c>
      <c r="M6" s="20" t="inlineStr"/>
      <c r="N6" s="21" t="inlineStr"/>
      <c r="O6" s="21" t="inlineStr"/>
    </row>
    <row r="7" ht="20" customHeight="1">
      <c r="A7" s="16" t="inlineStr">
        <is>
          <t>Coriobacteriaceae</t>
        </is>
      </c>
      <c r="B7" s="16" t="inlineStr">
        <is>
          <t>bacteria</t>
        </is>
      </c>
      <c r="C7" s="16" t="inlineStr">
        <is>
          <t>family</t>
        </is>
      </c>
      <c r="D7" s="16" t="inlineStr">
        <is>
          <t>melanoma</t>
        </is>
      </c>
      <c r="E7" s="17" t="inlineStr">
        <is>
          <t>increased</t>
        </is>
      </c>
      <c r="F7" s="16" t="inlineStr">
        <is>
          <t>treatment_effect</t>
        </is>
      </c>
      <c r="G7" s="16" t="inlineStr">
        <is>
          <t>fecal</t>
        </is>
      </c>
      <c r="H7" s="16" t="inlineStr"/>
      <c r="I7" s="16" t="inlineStr">
        <is>
          <t>high</t>
        </is>
      </c>
      <c r="J7" s="18" t="inlineStr">
        <is>
          <t>verified</t>
        </is>
      </c>
      <c r="K7" s="18" t="inlineStr">
        <is>
          <t>keep</t>
        </is>
      </c>
      <c r="L7" s="19" t="inlineStr">
        <is>
          <t>Most of the significantly enriched taxa in Rs belonged to the phyla Firmicutes (Lachnospiraceae and Ruminococcaceae families) and Actinobacteria (Bifidobacteriaceae and Coriobacteriaceae families), whereas most of the bacteria decreased in Rs belonged to phylum Bacteroidetes</t>
        </is>
      </c>
      <c r="M7" s="20" t="inlineStr"/>
      <c r="N7" s="21" t="inlineStr"/>
      <c r="O7" s="21" t="inlineStr"/>
    </row>
    <row r="8" ht="20" customHeight="1">
      <c r="A8" s="22" t="inlineStr">
        <is>
          <t>Bifidobacterium longum</t>
        </is>
      </c>
      <c r="B8" s="22" t="inlineStr">
        <is>
          <t>bacteria</t>
        </is>
      </c>
      <c r="C8" s="22" t="inlineStr">
        <is>
          <t>species</t>
        </is>
      </c>
      <c r="D8" s="22" t="inlineStr">
        <is>
          <t>melanoma</t>
        </is>
      </c>
      <c r="E8" s="17" t="inlineStr">
        <is>
          <t>increased</t>
        </is>
      </c>
      <c r="F8" s="22" t="inlineStr">
        <is>
          <t>treatment_effect</t>
        </is>
      </c>
      <c r="G8" s="22" t="inlineStr">
        <is>
          <t>fecal</t>
        </is>
      </c>
      <c r="H8" s="22" t="inlineStr"/>
      <c r="I8" s="22" t="inlineStr">
        <is>
          <t>high</t>
        </is>
      </c>
      <c r="J8" s="23" t="inlineStr">
        <is>
          <t>verified</t>
        </is>
      </c>
      <c r="K8" s="23" t="inlineStr">
        <is>
          <t>keep</t>
        </is>
      </c>
      <c r="L8" s="24" t="inlineStr">
        <is>
          <t>Several bacterial species associated with clinical response have been previously reported (Bifidobacterium longum, Colinsella aerofaciens, and F. prausnitzii)</t>
        </is>
      </c>
      <c r="M8" s="20" t="inlineStr"/>
      <c r="N8" s="21" t="inlineStr"/>
      <c r="O8" s="21" t="inlineStr"/>
    </row>
    <row r="9" ht="20" customHeight="1">
      <c r="A9" s="16" t="inlineStr">
        <is>
          <t>Colinsella aerofaciens</t>
        </is>
      </c>
      <c r="B9" s="16" t="inlineStr">
        <is>
          <t>bacteria</t>
        </is>
      </c>
      <c r="C9" s="16" t="inlineStr">
        <is>
          <t>species</t>
        </is>
      </c>
      <c r="D9" s="16" t="inlineStr">
        <is>
          <t>melanoma</t>
        </is>
      </c>
      <c r="E9" s="17" t="inlineStr">
        <is>
          <t>increased</t>
        </is>
      </c>
      <c r="F9" s="16" t="inlineStr">
        <is>
          <t>treatment_effect</t>
        </is>
      </c>
      <c r="G9" s="16" t="inlineStr">
        <is>
          <t>fecal</t>
        </is>
      </c>
      <c r="H9" s="16" t="inlineStr"/>
      <c r="I9" s="16" t="inlineStr">
        <is>
          <t>high</t>
        </is>
      </c>
      <c r="J9" s="18" t="inlineStr">
        <is>
          <t>verified</t>
        </is>
      </c>
      <c r="K9" s="18" t="inlineStr">
        <is>
          <t>keep_flagged</t>
        </is>
      </c>
      <c r="L9" s="19" t="inlineStr">
        <is>
          <t>Several bacterial species associated with clinical response have been previously reported (Bifidobacterium longum, Colinsella aerofaciens, and F. prausnitzii)</t>
        </is>
      </c>
      <c r="M9" s="20" t="inlineStr"/>
      <c r="N9" s="21" t="inlineStr"/>
      <c r="O9" s="21" t="inlineStr"/>
    </row>
    <row r="10" ht="20" customHeight="1">
      <c r="A10" s="22" t="inlineStr">
        <is>
          <t>Faecalibacterium prausnitzii</t>
        </is>
      </c>
      <c r="B10" s="22" t="inlineStr">
        <is>
          <t>bacteria</t>
        </is>
      </c>
      <c r="C10" s="22" t="inlineStr">
        <is>
          <t>species</t>
        </is>
      </c>
      <c r="D10" s="22" t="inlineStr">
        <is>
          <t>melanoma</t>
        </is>
      </c>
      <c r="E10" s="17" t="inlineStr">
        <is>
          <t>increased</t>
        </is>
      </c>
      <c r="F10" s="22" t="inlineStr">
        <is>
          <t>treatment_effect</t>
        </is>
      </c>
      <c r="G10" s="22" t="inlineStr">
        <is>
          <t>fecal</t>
        </is>
      </c>
      <c r="H10" s="22" t="inlineStr"/>
      <c r="I10" s="22" t="inlineStr">
        <is>
          <t>high</t>
        </is>
      </c>
      <c r="J10" s="23" t="inlineStr">
        <is>
          <t>verified</t>
        </is>
      </c>
      <c r="K10" s="23" t="inlineStr">
        <is>
          <t>keep</t>
        </is>
      </c>
      <c r="L10" s="24" t="inlineStr">
        <is>
          <t>Several bacterial species associated with clinical response have been previously reported (Bifidobacterium longum, Colinsella aerofaciens, and F. prausnitzii)... negatively correlated with organisms enriched in Rs after treatment (e.g., Ruminococcus flavefaciens and F. prausnitzii)</t>
        </is>
      </c>
      <c r="M10" s="20" t="inlineStr"/>
      <c r="N10" s="21" t="inlineStr"/>
      <c r="O10" s="21" t="inlineStr"/>
    </row>
    <row r="11" ht="20" customHeight="1">
      <c r="A11" s="16" t="inlineStr">
        <is>
          <t>Faecalibacterium prausnitzii</t>
        </is>
      </c>
      <c r="B11" s="16" t="inlineStr">
        <is>
          <t>bacteria</t>
        </is>
      </c>
      <c r="C11" s="16" t="inlineStr">
        <is>
          <t>species</t>
        </is>
      </c>
      <c r="D11" s="16" t="inlineStr">
        <is>
          <t>melanoma</t>
        </is>
      </c>
      <c r="E11" s="27" t="inlineStr">
        <is>
          <t>decreased</t>
        </is>
      </c>
      <c r="F11" s="16" t="inlineStr">
        <is>
          <t>treatment_effect</t>
        </is>
      </c>
      <c r="G11" s="16" t="inlineStr">
        <is>
          <t>fecal</t>
        </is>
      </c>
      <c r="H11" s="16" t="inlineStr"/>
      <c r="I11" s="16" t="inlineStr">
        <is>
          <t>medium</t>
        </is>
      </c>
      <c r="J11" s="18" t="inlineStr">
        <is>
          <t>verified</t>
        </is>
      </c>
      <c r="K11" s="18" t="inlineStr">
        <is>
          <t>keep_flagged</t>
        </is>
      </c>
      <c r="L11" s="19" t="inlineStr">
        <is>
          <t>After antibiotics, metagenomic data revealed pronounced changes in microbial community composition (loss of Faecalibacterium prausnitzii, Alistipes spp., and Ruminococcaceae spp.), which correlated with clinical progression.</t>
        </is>
      </c>
      <c r="M11" s="20" t="inlineStr"/>
      <c r="N11" s="21" t="inlineStr"/>
      <c r="O11" s="21" t="inlineStr"/>
    </row>
    <row r="12" ht="20" customHeight="1">
      <c r="A12" s="22" t="inlineStr">
        <is>
          <t>Alistipes</t>
        </is>
      </c>
      <c r="B12" s="22" t="inlineStr">
        <is>
          <t>bacteria</t>
        </is>
      </c>
      <c r="C12" s="22" t="inlineStr">
        <is>
          <t>genus</t>
        </is>
      </c>
      <c r="D12" s="22" t="inlineStr">
        <is>
          <t>melanoma</t>
        </is>
      </c>
      <c r="E12" s="27" t="inlineStr">
        <is>
          <t>decreased</t>
        </is>
      </c>
      <c r="F12" s="22" t="inlineStr">
        <is>
          <t>treatment_effect</t>
        </is>
      </c>
      <c r="G12" s="22" t="inlineStr">
        <is>
          <t>fecal</t>
        </is>
      </c>
      <c r="H12" s="22" t="inlineStr"/>
      <c r="I12" s="22" t="inlineStr">
        <is>
          <t>medium</t>
        </is>
      </c>
      <c r="J12" s="23" t="inlineStr">
        <is>
          <t>verified</t>
        </is>
      </c>
      <c r="K12" s="23" t="inlineStr">
        <is>
          <t>keep</t>
        </is>
      </c>
      <c r="L12" s="24" t="inlineStr">
        <is>
          <t>After antibiotics, metagenomic data revealed pronounced changes in microbial community composition (loss of Faecalibacterium prausnitzii, Alistipes spp., and Ruminococcaceae spp.), which correlated with clinical progression. A second transplant from the same donor was performed nearly 1 year after initial FMT and resulted in rapid gut colonization associated with ongoing SD</t>
        </is>
      </c>
      <c r="M12" s="20" t="inlineStr"/>
      <c r="N12" s="21" t="inlineStr"/>
      <c r="O12" s="21" t="inlineStr"/>
    </row>
    <row r="13" ht="20" customHeight="1">
      <c r="A13" s="16" t="inlineStr">
        <is>
          <t>Ruminococcus flavefaciens</t>
        </is>
      </c>
      <c r="B13" s="16" t="inlineStr">
        <is>
          <t>bacteria</t>
        </is>
      </c>
      <c r="C13" s="16" t="inlineStr">
        <is>
          <t>species</t>
        </is>
      </c>
      <c r="D13" s="16" t="inlineStr">
        <is>
          <t>melanoma</t>
        </is>
      </c>
      <c r="E13" s="17" t="inlineStr">
        <is>
          <t>increased</t>
        </is>
      </c>
      <c r="F13" s="16" t="inlineStr">
        <is>
          <t>treatment_effect</t>
        </is>
      </c>
      <c r="G13" s="16" t="inlineStr">
        <is>
          <t>fecal</t>
        </is>
      </c>
      <c r="H13" s="16" t="inlineStr"/>
      <c r="I13" s="16" t="inlineStr">
        <is>
          <t>medium</t>
        </is>
      </c>
      <c r="J13" s="18" t="inlineStr">
        <is>
          <t>verified</t>
        </is>
      </c>
      <c r="K13" s="18" t="inlineStr">
        <is>
          <t>keep</t>
        </is>
      </c>
      <c r="L13" s="19" t="inlineStr">
        <is>
          <t>CXCL8 (IL-8), IL-10, and CCL3 (MIP-1α) were positively correlated with organisms enriched in NRs before treatment (Bacteroides uniformis, Bacteroides nordii, Phascolarctobacterium faecium, etc.) and negatively correlated with organisms enriched in Rs after treatment (e.g., Ruminococcus flavefaciens and F. prausnitzii)</t>
        </is>
      </c>
      <c r="M13" s="20" t="inlineStr"/>
      <c r="N13" s="21" t="inlineStr"/>
      <c r="O13" s="21" t="inlineStr"/>
    </row>
    <row r="14" ht="20" customHeight="1">
      <c r="A14" s="22" t="inlineStr">
        <is>
          <t>Akkermansia muciniphila</t>
        </is>
      </c>
      <c r="B14" s="22" t="inlineStr">
        <is>
          <t>bacteria</t>
        </is>
      </c>
      <c r="C14" s="22" t="inlineStr">
        <is>
          <t>species</t>
        </is>
      </c>
      <c r="D14" s="22" t="inlineStr">
        <is>
          <t>melanoma</t>
        </is>
      </c>
      <c r="E14" s="17" t="inlineStr">
        <is>
          <t>increased</t>
        </is>
      </c>
      <c r="F14" s="22" t="inlineStr">
        <is>
          <t>treatment_effect</t>
        </is>
      </c>
      <c r="G14" s="22" t="inlineStr">
        <is>
          <t>fecal</t>
        </is>
      </c>
      <c r="H14" s="22" t="inlineStr"/>
      <c r="I14" s="22" t="inlineStr">
        <is>
          <t>low</t>
        </is>
      </c>
      <c r="J14" s="23" t="inlineStr">
        <is>
          <t>verified</t>
        </is>
      </c>
      <c r="K14" s="23" t="inlineStr">
        <is>
          <t>keep_flagged</t>
        </is>
      </c>
      <c r="L14" s="24" t="inlineStr">
        <is>
          <t>gut bacterial commensals that were previously shown to increase (F. prausnitzii and Akkermansia muciniphila) and decrease (Bacteroides genus) responses to anti–PD-1 (10) were negatively and positively correlated with CXCL8 (IL-8), respectively</t>
        </is>
      </c>
      <c r="M14" s="20" t="inlineStr"/>
      <c r="N14" s="21" t="inlineStr"/>
      <c r="O14" s="21" t="inlineStr"/>
    </row>
    <row r="15" ht="20" customHeight="1">
      <c r="A15" s="16" t="inlineStr">
        <is>
          <t>Bacteroides uniformis</t>
        </is>
      </c>
      <c r="B15" s="16" t="inlineStr">
        <is>
          <t>bacteria</t>
        </is>
      </c>
      <c r="C15" s="16" t="inlineStr">
        <is>
          <t>species</t>
        </is>
      </c>
      <c r="D15" s="16" t="inlineStr">
        <is>
          <t>melanoma</t>
        </is>
      </c>
      <c r="E15" s="17" t="inlineStr">
        <is>
          <t>increased</t>
        </is>
      </c>
      <c r="F15" s="16" t="inlineStr">
        <is>
          <t>treatment_effect</t>
        </is>
      </c>
      <c r="G15" s="16" t="inlineStr">
        <is>
          <t>fecal</t>
        </is>
      </c>
      <c r="H15" s="16" t="inlineStr"/>
      <c r="I15" s="16" t="inlineStr">
        <is>
          <t>medium</t>
        </is>
      </c>
      <c r="J15" s="18" t="inlineStr">
        <is>
          <t>verified</t>
        </is>
      </c>
      <c r="K15" s="18" t="inlineStr">
        <is>
          <t>keep</t>
        </is>
      </c>
      <c r="L15" s="19" t="inlineStr">
        <is>
          <t>CXCL8 (IL-8), IL-10, and CCL3 (MIP-1α) were positively correlated with organisms enriched in NRs before treatment (Bacteroides uniformis, Bacteroides nordii, Phascolarctobacterium faecium, etc.) and negatively correlated with organisms enriched in Rs after treatment</t>
        </is>
      </c>
      <c r="M15" s="20" t="inlineStr"/>
      <c r="N15" s="21" t="inlineStr"/>
      <c r="O15" s="21" t="inlineStr"/>
    </row>
    <row r="16" ht="20" customHeight="1">
      <c r="A16" s="22" t="inlineStr">
        <is>
          <t>Bacteroides nordii</t>
        </is>
      </c>
      <c r="B16" s="22" t="inlineStr">
        <is>
          <t>bacteria</t>
        </is>
      </c>
      <c r="C16" s="22" t="inlineStr">
        <is>
          <t>species</t>
        </is>
      </c>
      <c r="D16" s="22" t="inlineStr">
        <is>
          <t>melanoma</t>
        </is>
      </c>
      <c r="E16" s="17" t="inlineStr">
        <is>
          <t>increased</t>
        </is>
      </c>
      <c r="F16" s="22" t="inlineStr">
        <is>
          <t>treatment_effect</t>
        </is>
      </c>
      <c r="G16" s="22" t="inlineStr">
        <is>
          <t>fecal</t>
        </is>
      </c>
      <c r="H16" s="22" t="inlineStr"/>
      <c r="I16" s="22" t="inlineStr">
        <is>
          <t>medium</t>
        </is>
      </c>
      <c r="J16" s="23" t="inlineStr">
        <is>
          <t>verified</t>
        </is>
      </c>
      <c r="K16" s="23" t="inlineStr">
        <is>
          <t>keep</t>
        </is>
      </c>
      <c r="L16" s="24" t="inlineStr">
        <is>
          <t>CXCL8 (IL-8), IL-10, and CCL3 (MIP-1α) were positively correlated with organisms enriched in NRs before treatment (Bacteroides uniformis, Bacteroides nordii, Phascolarctobacterium faecium, etc.) and negatively correlated with organisms enriched in Rs after treatment</t>
        </is>
      </c>
      <c r="M16" s="20" t="inlineStr"/>
      <c r="N16" s="21" t="inlineStr"/>
      <c r="O16" s="21" t="inlineStr"/>
    </row>
    <row r="17" ht="20" customHeight="1">
      <c r="A17" s="16" t="inlineStr">
        <is>
          <t>Phascolarctobacterium faecium</t>
        </is>
      </c>
      <c r="B17" s="16" t="inlineStr">
        <is>
          <t>bacteria</t>
        </is>
      </c>
      <c r="C17" s="16" t="inlineStr">
        <is>
          <t>species</t>
        </is>
      </c>
      <c r="D17" s="16" t="inlineStr">
        <is>
          <t>melanoma</t>
        </is>
      </c>
      <c r="E17" s="17" t="inlineStr">
        <is>
          <t>increased</t>
        </is>
      </c>
      <c r="F17" s="16" t="inlineStr">
        <is>
          <t>treatment_effect</t>
        </is>
      </c>
      <c r="G17" s="16" t="inlineStr">
        <is>
          <t>fecal</t>
        </is>
      </c>
      <c r="H17" s="16" t="inlineStr"/>
      <c r="I17" s="16" t="inlineStr">
        <is>
          <t>medium</t>
        </is>
      </c>
      <c r="J17" s="18" t="inlineStr">
        <is>
          <t>verified</t>
        </is>
      </c>
      <c r="K17" s="18" t="inlineStr">
        <is>
          <t>keep</t>
        </is>
      </c>
      <c r="L17" s="19" t="inlineStr">
        <is>
          <t>CXCL8 (IL-8), IL-10, and CCL3 (MIP-1α) were positively correlated with organisms enriched in NRs before treatment (Bacteroides uniformis, Bacteroides nordii, Phascolarctobacterium faecium, etc.) and negatively correlated with organisms enriched in Rs after treatment</t>
        </is>
      </c>
      <c r="M17" s="20" t="inlineStr"/>
      <c r="N17" s="21" t="inlineStr"/>
      <c r="O17" s="21" t="inlineStr"/>
    </row>
    <row r="18" ht="20" customHeight="1">
      <c r="A18" s="22" t="inlineStr">
        <is>
          <t>Bacteroides</t>
        </is>
      </c>
      <c r="B18" s="22" t="inlineStr">
        <is>
          <t>bacteria</t>
        </is>
      </c>
      <c r="C18" s="22" t="inlineStr">
        <is>
          <t>genus</t>
        </is>
      </c>
      <c r="D18" s="22" t="inlineStr">
        <is>
          <t>melanoma</t>
        </is>
      </c>
      <c r="E18" s="27" t="inlineStr">
        <is>
          <t>decreased</t>
        </is>
      </c>
      <c r="F18" s="22" t="inlineStr">
        <is>
          <t>treatment_effect</t>
        </is>
      </c>
      <c r="G18" s="22" t="inlineStr">
        <is>
          <t>fecal</t>
        </is>
      </c>
      <c r="H18" s="22" t="inlineStr"/>
      <c r="I18" s="22" t="inlineStr">
        <is>
          <t>low</t>
        </is>
      </c>
      <c r="J18" s="23" t="inlineStr">
        <is>
          <t>verified</t>
        </is>
      </c>
      <c r="K18" s="23" t="inlineStr">
        <is>
          <t>keep_flagged</t>
        </is>
      </c>
      <c r="L18" s="24" t="inlineStr">
        <is>
          <t>gut bacterial commensals that were previously shown to increase (F. prausnitzii and Akkermansia muciniphila) and decrease (Bacteroides genus) responses to anti–PD-1 (10) were negatively and positively correlated with CXCL8 (IL-8), respectively</t>
        </is>
      </c>
      <c r="M18" s="20" t="inlineStr"/>
      <c r="N18" s="21" t="inlineStr"/>
      <c r="O18" s="21" t="inlineStr"/>
    </row>
    <row r="19" ht="20" customHeight="1">
      <c r="A19" s="16" t="inlineStr">
        <is>
          <t>Firmicutes</t>
        </is>
      </c>
      <c r="B19" s="16" t="inlineStr">
        <is>
          <t>bacteria</t>
        </is>
      </c>
      <c r="C19" s="16" t="inlineStr">
        <is>
          <t>phylum</t>
        </is>
      </c>
      <c r="D19" s="16" t="inlineStr">
        <is>
          <t>melanoma</t>
        </is>
      </c>
      <c r="E19" s="17" t="inlineStr">
        <is>
          <t>increased</t>
        </is>
      </c>
      <c r="F19" s="16" t="inlineStr">
        <is>
          <t>treatment_effect</t>
        </is>
      </c>
      <c r="G19" s="16" t="inlineStr">
        <is>
          <t>fecal</t>
        </is>
      </c>
      <c r="H19" s="16" t="inlineStr"/>
      <c r="I19" s="16" t="inlineStr">
        <is>
          <t>high</t>
        </is>
      </c>
      <c r="J19" s="18" t="inlineStr">
        <is>
          <t>verified</t>
        </is>
      </c>
      <c r="K19" s="18" t="inlineStr">
        <is>
          <t>keep</t>
        </is>
      </c>
      <c r="L19" s="19" t="inlineStr">
        <is>
          <t>Most of the significantly enriched taxa in Rs belonged to the phyla Firmicutes (Lachnospiraceae and Ruminococcaceae families) and Actinobacteria (Bifidobacteriaceae and Coriobacteriaceae families), whereas most of the bacteria decreased in Rs belonged to phylum Bacteroidetes</t>
        </is>
      </c>
      <c r="M19" s="20" t="inlineStr"/>
      <c r="N19" s="21" t="inlineStr"/>
      <c r="O19" s="21" t="inlineStr"/>
    </row>
    <row r="20" ht="20" customHeight="1">
      <c r="A20" s="22" t="inlineStr">
        <is>
          <t>Actinobacteria</t>
        </is>
      </c>
      <c r="B20" s="22" t="inlineStr">
        <is>
          <t>bacteria</t>
        </is>
      </c>
      <c r="C20" s="22" t="inlineStr">
        <is>
          <t>phylum</t>
        </is>
      </c>
      <c r="D20" s="22" t="inlineStr">
        <is>
          <t>melanoma</t>
        </is>
      </c>
      <c r="E20" s="17" t="inlineStr">
        <is>
          <t>increased</t>
        </is>
      </c>
      <c r="F20" s="22" t="inlineStr">
        <is>
          <t>treatment_effect</t>
        </is>
      </c>
      <c r="G20" s="22" t="inlineStr">
        <is>
          <t>fecal</t>
        </is>
      </c>
      <c r="H20" s="22" t="inlineStr"/>
      <c r="I20" s="22" t="inlineStr">
        <is>
          <t>high</t>
        </is>
      </c>
      <c r="J20" s="23" t="inlineStr">
        <is>
          <t>verified</t>
        </is>
      </c>
      <c r="K20" s="23" t="inlineStr">
        <is>
          <t>keep</t>
        </is>
      </c>
      <c r="L20" s="24" t="inlineStr">
        <is>
          <t>Most of the significantly enriched taxa in Rs belonged to the phyla Firmicutes (Lachnospiraceae and Ruminococcaceae families) and Actinobacteria (Bifidobacteriaceae and Coriobacteriaceae families), whereas most of the bacteria decreased in Rs belonged to phylum Bacteroidetes</t>
        </is>
      </c>
      <c r="M20" s="20" t="inlineStr"/>
      <c r="N20" s="21" t="inlineStr"/>
      <c r="O20" s="21" t="inlineStr"/>
    </row>
    <row r="21" ht="20" customHeight="1">
      <c r="A21" s="16" t="inlineStr">
        <is>
          <t>Bacteroidetes</t>
        </is>
      </c>
      <c r="B21" s="16" t="inlineStr">
        <is>
          <t>bacteria</t>
        </is>
      </c>
      <c r="C21" s="16" t="inlineStr">
        <is>
          <t>phylum</t>
        </is>
      </c>
      <c r="D21" s="16" t="inlineStr">
        <is>
          <t>melanoma</t>
        </is>
      </c>
      <c r="E21" s="27" t="inlineStr">
        <is>
          <t>decreased</t>
        </is>
      </c>
      <c r="F21" s="16" t="inlineStr">
        <is>
          <t>treatment_effect</t>
        </is>
      </c>
      <c r="G21" s="16" t="inlineStr">
        <is>
          <t>fecal</t>
        </is>
      </c>
      <c r="H21" s="16" t="inlineStr"/>
      <c r="I21" s="16" t="inlineStr">
        <is>
          <t>high</t>
        </is>
      </c>
      <c r="J21" s="18" t="inlineStr">
        <is>
          <t>verified</t>
        </is>
      </c>
      <c r="K21" s="18" t="inlineStr">
        <is>
          <t>keep</t>
        </is>
      </c>
      <c r="L21" s="19" t="inlineStr">
        <is>
          <t>Most of the significantly enriched taxa in Rs belonged to the phyla Firmicutes (Lachnospiraceae and Ruminococcaceae families) and Actinobacteria (Bifidobacteriaceae and Coriobacteriaceae families), whereas most of the bacteria decreased in Rs belonged to phylum Bacteroidetes</t>
        </is>
      </c>
      <c r="M21" s="20" t="inlineStr"/>
      <c r="N21" s="21" t="inlineStr"/>
      <c r="O21"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21" showDropDown="0" showInputMessage="0" showErrorMessage="0" allowBlank="1" type="list">
      <formula1>"approved,rejected,modified"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1"/>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166 — Salivary microbiome profiles of oral cancer patients analyzed before and after treatment</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Streptococcus anginosus</t>
        </is>
      </c>
      <c r="B3" s="16" t="inlineStr">
        <is>
          <t>bacteria</t>
        </is>
      </c>
      <c r="C3" s="16" t="inlineStr">
        <is>
          <t>species</t>
        </is>
      </c>
      <c r="D3" s="16" t="inlineStr">
        <is>
          <t>oral squamous cell carcinoma</t>
        </is>
      </c>
      <c r="E3" s="17" t="inlineStr">
        <is>
          <t>increased</t>
        </is>
      </c>
      <c r="F3" s="16" t="inlineStr">
        <is>
          <t>disease_vs_control</t>
        </is>
      </c>
      <c r="G3" s="16" t="inlineStr">
        <is>
          <t>oral</t>
        </is>
      </c>
      <c r="H3" s="16" t="inlineStr">
        <is>
          <t>0.003</t>
        </is>
      </c>
      <c r="I3" s="16" t="inlineStr">
        <is>
          <t>high</t>
        </is>
      </c>
      <c r="J3" s="18" t="inlineStr">
        <is>
          <t>verified</t>
        </is>
      </c>
      <c r="K3" s="18" t="inlineStr">
        <is>
          <t>keep</t>
        </is>
      </c>
      <c r="L3" s="19" t="inlineStr">
        <is>
          <t>The three distinguishing zOTUs that were significant on their own were OSCC-related zOTU211 Streptococcus anginosus (p = 0.003)</t>
        </is>
      </c>
      <c r="M3" s="20" t="inlineStr"/>
      <c r="N3" s="21" t="inlineStr"/>
      <c r="O3" s="21" t="inlineStr"/>
    </row>
    <row r="4" ht="20" customHeight="1">
      <c r="A4" s="22" t="inlineStr">
        <is>
          <t>Abiotrophia defectiva</t>
        </is>
      </c>
      <c r="B4" s="22" t="inlineStr">
        <is>
          <t>bacteria</t>
        </is>
      </c>
      <c r="C4" s="22" t="inlineStr">
        <is>
          <t>species</t>
        </is>
      </c>
      <c r="D4" s="22" t="inlineStr">
        <is>
          <t>oral squamous cell carcinoma</t>
        </is>
      </c>
      <c r="E4" s="17" t="inlineStr">
        <is>
          <t>increased</t>
        </is>
      </c>
      <c r="F4" s="22" t="inlineStr">
        <is>
          <t>disease_vs_control</t>
        </is>
      </c>
      <c r="G4" s="22" t="inlineStr">
        <is>
          <t>oral</t>
        </is>
      </c>
      <c r="H4" s="22" t="inlineStr"/>
      <c r="I4" s="22" t="inlineStr">
        <is>
          <t>high</t>
        </is>
      </c>
      <c r="J4" s="23" t="inlineStr">
        <is>
          <t>verified</t>
        </is>
      </c>
      <c r="K4" s="23" t="inlineStr">
        <is>
          <t>keep</t>
        </is>
      </c>
      <c r="L4" s="24" t="inlineStr">
        <is>
          <t>At baseline, the OSCC patients showed a higher relative abundance of zOTUs classified as Streptococcus anginosus, Abiotrophia defectiva, and Fusobacterium nucleatum.</t>
        </is>
      </c>
      <c r="M4" s="20" t="inlineStr"/>
      <c r="N4" s="21" t="inlineStr"/>
      <c r="O4" s="21" t="inlineStr"/>
    </row>
    <row r="5" ht="20" customHeight="1">
      <c r="A5" s="16" t="inlineStr">
        <is>
          <t>Fusobacterium nucleatum</t>
        </is>
      </c>
      <c r="B5" s="16" t="inlineStr">
        <is>
          <t>bacteria</t>
        </is>
      </c>
      <c r="C5" s="16" t="inlineStr">
        <is>
          <t>species</t>
        </is>
      </c>
      <c r="D5" s="16" t="inlineStr">
        <is>
          <t>oral squamous cell carcinoma</t>
        </is>
      </c>
      <c r="E5" s="17" t="inlineStr">
        <is>
          <t>increased</t>
        </is>
      </c>
      <c r="F5" s="16" t="inlineStr">
        <is>
          <t>disease_vs_control</t>
        </is>
      </c>
      <c r="G5" s="16" t="inlineStr">
        <is>
          <t>oral</t>
        </is>
      </c>
      <c r="H5" s="16" t="inlineStr"/>
      <c r="I5" s="16" t="inlineStr">
        <is>
          <t>high</t>
        </is>
      </c>
      <c r="J5" s="18" t="inlineStr">
        <is>
          <t>verified</t>
        </is>
      </c>
      <c r="K5" s="18" t="inlineStr">
        <is>
          <t>keep</t>
        </is>
      </c>
      <c r="L5" s="19" t="inlineStr">
        <is>
          <t>At baseline, the OSCC patients showed a higher relative abundance of zOTUs classified as Streptococcus anginosus, Abiotrophia defectiva, and Fusobacterium nucleatum.</t>
        </is>
      </c>
      <c r="M5" s="20" t="inlineStr"/>
      <c r="N5" s="21" t="inlineStr"/>
      <c r="O5" s="21" t="inlineStr"/>
    </row>
    <row r="6" ht="20" customHeight="1">
      <c r="A6" s="22" t="inlineStr">
        <is>
          <t>Streptococcus dentisani/infantis/mitis/oralis/oral_taxon_058/oral_taxon_061/oral_taxon_064/oral_taxon_070/oral_taxon_423/oral_taxon_431/tigurinus</t>
        </is>
      </c>
      <c r="B6" s="22" t="inlineStr">
        <is>
          <t>bacteria</t>
        </is>
      </c>
      <c r="C6" s="22" t="inlineStr">
        <is>
          <t>species</t>
        </is>
      </c>
      <c r="D6" s="22" t="inlineStr">
        <is>
          <t>oral squamous cell carcinoma</t>
        </is>
      </c>
      <c r="E6" s="17" t="inlineStr">
        <is>
          <t>increased</t>
        </is>
      </c>
      <c r="F6" s="22" t="inlineStr">
        <is>
          <t>disease_vs_control</t>
        </is>
      </c>
      <c r="G6" s="22" t="inlineStr">
        <is>
          <t>oral</t>
        </is>
      </c>
      <c r="H6" s="22" t="inlineStr">
        <is>
          <t>0.030</t>
        </is>
      </c>
      <c r="I6" s="22" t="inlineStr">
        <is>
          <t>high</t>
        </is>
      </c>
      <c r="J6" s="23" t="inlineStr">
        <is>
          <t>verified</t>
        </is>
      </c>
      <c r="K6" s="23" t="inlineStr">
        <is>
          <t>keep</t>
        </is>
      </c>
      <c r="L6" s="24" t="inlineStr">
        <is>
          <t>zOTU1 Streptococcus dentisani/infantis/mitis/oralis/oral_taxon_058/oral_taxon_061/oral_taxon_064/oral_taxon_070/oral_taxon_423 /oral_taxon_431/tigurinus (p = 0. 030)</t>
        </is>
      </c>
      <c r="M6" s="20" t="inlineStr"/>
      <c r="N6" s="21" t="inlineStr"/>
      <c r="O6" s="21" t="inlineStr"/>
    </row>
    <row r="7" ht="20" customHeight="1">
      <c r="A7" s="16" t="inlineStr">
        <is>
          <t>Catonella morbi</t>
        </is>
      </c>
      <c r="B7" s="16" t="inlineStr">
        <is>
          <t>bacteria</t>
        </is>
      </c>
      <c r="C7" s="16" t="inlineStr">
        <is>
          <t>species</t>
        </is>
      </c>
      <c r="D7" s="16" t="inlineStr">
        <is>
          <t>oral squamous cell carcinoma</t>
        </is>
      </c>
      <c r="E7" s="17" t="inlineStr">
        <is>
          <t>increased</t>
        </is>
      </c>
      <c r="F7" s="16" t="inlineStr">
        <is>
          <t>disease_vs_control</t>
        </is>
      </c>
      <c r="G7" s="16" t="inlineStr">
        <is>
          <t>oral</t>
        </is>
      </c>
      <c r="H7" s="16" t="inlineStr">
        <is>
          <t>0.007</t>
        </is>
      </c>
      <c r="I7" s="16" t="inlineStr">
        <is>
          <t>high</t>
        </is>
      </c>
      <c r="J7" s="18" t="inlineStr">
        <is>
          <t>verified</t>
        </is>
      </c>
      <c r="K7" s="18" t="inlineStr">
        <is>
          <t>keep</t>
        </is>
      </c>
      <c r="L7" s="19" t="inlineStr">
        <is>
          <t>zOTU239 Catonella morbi/oral_taxon_164 (p = 0. 007)</t>
        </is>
      </c>
      <c r="M7" s="20" t="inlineStr"/>
      <c r="N7" s="21" t="inlineStr"/>
      <c r="O7" s="21" t="inlineStr"/>
    </row>
    <row r="8" ht="20" customHeight="1">
      <c r="A8" s="22" t="inlineStr">
        <is>
          <t>Veillonella atypica/dispar</t>
        </is>
      </c>
      <c r="B8" s="22" t="inlineStr">
        <is>
          <t>bacteria</t>
        </is>
      </c>
      <c r="C8" s="22" t="inlineStr">
        <is>
          <t>species</t>
        </is>
      </c>
      <c r="D8" s="22" t="inlineStr">
        <is>
          <t>oral squamous cell carcinoma</t>
        </is>
      </c>
      <c r="E8" s="27" t="inlineStr">
        <is>
          <t>decreased</t>
        </is>
      </c>
      <c r="F8" s="22" t="inlineStr">
        <is>
          <t>disease_vs_control</t>
        </is>
      </c>
      <c r="G8" s="22" t="inlineStr">
        <is>
          <t>oral</t>
        </is>
      </c>
      <c r="H8" s="22" t="inlineStr"/>
      <c r="I8" s="22" t="inlineStr">
        <is>
          <t>high</t>
        </is>
      </c>
      <c r="J8" s="23" t="inlineStr">
        <is>
          <t>verified</t>
        </is>
      </c>
      <c r="K8" s="23" t="inlineStr">
        <is>
          <t>keep</t>
        </is>
      </c>
      <c r="L8" s="24" t="inlineStr">
        <is>
          <t>The significant zOTUs more abundant in the control group included zOTU3 Veillonella atypica/dispar, zOTU4 Streptococcus australis/parasanguinis_I/parasanguinis_II/oral_taxon_057/oral_taxon_066, and zOTU30 Actinomyces oral_taxon_172.</t>
        </is>
      </c>
      <c r="M8" s="20" t="inlineStr"/>
      <c r="N8" s="21" t="inlineStr"/>
      <c r="O8" s="21" t="inlineStr"/>
    </row>
    <row r="9" ht="20" customHeight="1">
      <c r="A9" s="16" t="inlineStr">
        <is>
          <t>Streptococcus australis/parasanguinis_I/parasanguinis_II/oral_taxon_057/oral_taxon_066</t>
        </is>
      </c>
      <c r="B9" s="16" t="inlineStr">
        <is>
          <t>bacteria</t>
        </is>
      </c>
      <c r="C9" s="16" t="inlineStr">
        <is>
          <t>species</t>
        </is>
      </c>
      <c r="D9" s="16" t="inlineStr">
        <is>
          <t>oral squamous cell carcinoma</t>
        </is>
      </c>
      <c r="E9" s="27" t="inlineStr">
        <is>
          <t>decreased</t>
        </is>
      </c>
      <c r="F9" s="16" t="inlineStr">
        <is>
          <t>disease_vs_control</t>
        </is>
      </c>
      <c r="G9" s="16" t="inlineStr">
        <is>
          <t>oral</t>
        </is>
      </c>
      <c r="H9" s="16" t="inlineStr"/>
      <c r="I9" s="16" t="inlineStr">
        <is>
          <t>high</t>
        </is>
      </c>
      <c r="J9" s="18" t="inlineStr">
        <is>
          <t>verified</t>
        </is>
      </c>
      <c r="K9" s="18" t="inlineStr">
        <is>
          <t>keep</t>
        </is>
      </c>
      <c r="L9" s="19" t="inlineStr">
        <is>
          <t>The significant zOTUs more abundant in the control group included zOTU3 Veillonella atypica/dispar, zOTU4 Streptococcus australis/parasanguinis_I/parasanguinis_II/oral_taxon_057/oral_taxon_066, and zOTU30 Actinomyces oral_taxon_172.</t>
        </is>
      </c>
      <c r="M9" s="20" t="inlineStr"/>
      <c r="N9" s="21" t="inlineStr"/>
      <c r="O9" s="21" t="inlineStr"/>
    </row>
    <row r="10" ht="20" customHeight="1">
      <c r="A10" s="22" t="inlineStr">
        <is>
          <t>Actinomyces oral_taxon_172</t>
        </is>
      </c>
      <c r="B10" s="22" t="inlineStr">
        <is>
          <t>bacteria</t>
        </is>
      </c>
      <c r="C10" s="22" t="inlineStr">
        <is>
          <t>species</t>
        </is>
      </c>
      <c r="D10" s="22" t="inlineStr">
        <is>
          <t>oral squamous cell carcinoma</t>
        </is>
      </c>
      <c r="E10" s="27" t="inlineStr">
        <is>
          <t>decreased</t>
        </is>
      </c>
      <c r="F10" s="22" t="inlineStr">
        <is>
          <t>disease_vs_control</t>
        </is>
      </c>
      <c r="G10" s="22" t="inlineStr">
        <is>
          <t>oral</t>
        </is>
      </c>
      <c r="H10" s="22" t="inlineStr"/>
      <c r="I10" s="22" t="inlineStr">
        <is>
          <t>high</t>
        </is>
      </c>
      <c r="J10" s="23" t="inlineStr">
        <is>
          <t>verified</t>
        </is>
      </c>
      <c r="K10" s="23" t="inlineStr">
        <is>
          <t>keep</t>
        </is>
      </c>
      <c r="L10" s="24" t="inlineStr">
        <is>
          <t>The significant zOTUs more abundant in the control group included zOTU3 Veillonella atypica/dispar, zOTU4 Streptococcus australis/parasanguinis_I/parasanguinis_II/oral_taxon_057/oral_taxon_066, and zOTU30 Actinomyces oral_taxon_172.</t>
        </is>
      </c>
      <c r="M10" s="20" t="inlineStr"/>
      <c r="N10" s="21" t="inlineStr"/>
      <c r="O10" s="21" t="inlineStr"/>
    </row>
    <row r="11" ht="20" customHeight="1">
      <c r="A11" s="16" t="inlineStr">
        <is>
          <t>Streptococcus</t>
        </is>
      </c>
      <c r="B11" s="16" t="inlineStr">
        <is>
          <t>bacteria</t>
        </is>
      </c>
      <c r="C11" s="16" t="inlineStr">
        <is>
          <t>genus</t>
        </is>
      </c>
      <c r="D11" s="16" t="inlineStr">
        <is>
          <t>oral squamous cell carcinoma</t>
        </is>
      </c>
      <c r="E11" s="17" t="inlineStr">
        <is>
          <t>increased</t>
        </is>
      </c>
      <c r="F11" s="16" t="inlineStr">
        <is>
          <t>disease_vs_control</t>
        </is>
      </c>
      <c r="G11" s="16" t="inlineStr">
        <is>
          <t>oral</t>
        </is>
      </c>
      <c r="H11" s="16" t="inlineStr"/>
      <c r="I11" s="16" t="inlineStr">
        <is>
          <t>high</t>
        </is>
      </c>
      <c r="J11" s="18" t="inlineStr">
        <is>
          <t>verified</t>
        </is>
      </c>
      <c r="K11" s="18" t="inlineStr">
        <is>
          <t>keep</t>
        </is>
      </c>
      <c r="L11" s="19" t="inlineStr">
        <is>
          <t>The most abundant genera within the OSCC-related groups of zOTUs were Streptococcus, Fusobacterium, Capnocytophaga, and Lactobacillus</t>
        </is>
      </c>
      <c r="M11" s="20" t="inlineStr"/>
      <c r="N11" s="21" t="inlineStr"/>
      <c r="O11" s="21" t="inlineStr"/>
    </row>
    <row r="12" ht="20" customHeight="1">
      <c r="A12" s="22" t="inlineStr">
        <is>
          <t>Fusobacterium</t>
        </is>
      </c>
      <c r="B12" s="22" t="inlineStr">
        <is>
          <t>bacteria</t>
        </is>
      </c>
      <c r="C12" s="22" t="inlineStr">
        <is>
          <t>genus</t>
        </is>
      </c>
      <c r="D12" s="22" t="inlineStr">
        <is>
          <t>oral squamous cell carcinoma</t>
        </is>
      </c>
      <c r="E12" s="17" t="inlineStr">
        <is>
          <t>increased</t>
        </is>
      </c>
      <c r="F12" s="22" t="inlineStr">
        <is>
          <t>disease_vs_control</t>
        </is>
      </c>
      <c r="G12" s="22" t="inlineStr">
        <is>
          <t>oral</t>
        </is>
      </c>
      <c r="H12" s="22" t="inlineStr"/>
      <c r="I12" s="22" t="inlineStr">
        <is>
          <t>high</t>
        </is>
      </c>
      <c r="J12" s="23" t="inlineStr">
        <is>
          <t>verified</t>
        </is>
      </c>
      <c r="K12" s="23" t="inlineStr">
        <is>
          <t>keep</t>
        </is>
      </c>
      <c r="L12" s="24" t="inlineStr">
        <is>
          <t>The most abundant genera within the OSCC-related groups of zOTUs were Streptococcus, Fusobacterium, Capnocytophaga, and Lactobacillus</t>
        </is>
      </c>
      <c r="M12" s="20" t="inlineStr"/>
      <c r="N12" s="21" t="inlineStr"/>
      <c r="O12" s="21" t="inlineStr"/>
    </row>
    <row r="13" ht="20" customHeight="1">
      <c r="A13" s="16" t="inlineStr">
        <is>
          <t>Capnocytophaga</t>
        </is>
      </c>
      <c r="B13" s="16" t="inlineStr">
        <is>
          <t>bacteria</t>
        </is>
      </c>
      <c r="C13" s="16" t="inlineStr">
        <is>
          <t>genus</t>
        </is>
      </c>
      <c r="D13" s="16" t="inlineStr">
        <is>
          <t>oral squamous cell carcinoma</t>
        </is>
      </c>
      <c r="E13" s="17" t="inlineStr">
        <is>
          <t>increased</t>
        </is>
      </c>
      <c r="F13" s="16" t="inlineStr">
        <is>
          <t>disease_vs_control</t>
        </is>
      </c>
      <c r="G13" s="16" t="inlineStr">
        <is>
          <t>oral</t>
        </is>
      </c>
      <c r="H13" s="16" t="inlineStr"/>
      <c r="I13" s="16" t="inlineStr">
        <is>
          <t>high</t>
        </is>
      </c>
      <c r="J13" s="18" t="inlineStr">
        <is>
          <t>verified</t>
        </is>
      </c>
      <c r="K13" s="18" t="inlineStr">
        <is>
          <t>keep</t>
        </is>
      </c>
      <c r="L13" s="19" t="inlineStr">
        <is>
          <t>The most abundant genera within the OSCC-related groups of zOTUs were Streptococcus, Fusobacterium, Capnocytophaga, and Lactobacillus</t>
        </is>
      </c>
      <c r="M13" s="20" t="inlineStr"/>
      <c r="N13" s="21" t="inlineStr"/>
      <c r="O13" s="21" t="inlineStr"/>
    </row>
    <row r="14" ht="20" customHeight="1">
      <c r="A14" s="22" t="inlineStr">
        <is>
          <t>Lactobacillus</t>
        </is>
      </c>
      <c r="B14" s="22" t="inlineStr">
        <is>
          <t>bacteria</t>
        </is>
      </c>
      <c r="C14" s="22" t="inlineStr">
        <is>
          <t>genus</t>
        </is>
      </c>
      <c r="D14" s="22" t="inlineStr">
        <is>
          <t>oral squamous cell carcinoma</t>
        </is>
      </c>
      <c r="E14" s="17" t="inlineStr">
        <is>
          <t>increased</t>
        </is>
      </c>
      <c r="F14" s="22" t="inlineStr">
        <is>
          <t>disease_vs_control</t>
        </is>
      </c>
      <c r="G14" s="22" t="inlineStr">
        <is>
          <t>oral</t>
        </is>
      </c>
      <c r="H14" s="22" t="inlineStr">
        <is>
          <t>&lt;0.001</t>
        </is>
      </c>
      <c r="I14" s="22" t="inlineStr">
        <is>
          <t>high</t>
        </is>
      </c>
      <c r="J14" s="23" t="inlineStr">
        <is>
          <t>verified</t>
        </is>
      </c>
      <c r="K14" s="23" t="inlineStr">
        <is>
          <t>keep_flagged</t>
        </is>
      </c>
      <c r="L14" s="24" t="inlineStr">
        <is>
          <t>The most common genera among smoker OSCC patients were genus Lactobacillus and genus Treponema</t>
        </is>
      </c>
      <c r="M14" s="20" t="inlineStr"/>
      <c r="N14" s="21" t="inlineStr"/>
      <c r="O14" s="21" t="inlineStr"/>
    </row>
    <row r="15" ht="20" customHeight="1">
      <c r="A15" s="16" t="inlineStr">
        <is>
          <t>Prevotella</t>
        </is>
      </c>
      <c r="B15" s="16" t="inlineStr">
        <is>
          <t>bacteria</t>
        </is>
      </c>
      <c r="C15" s="16" t="inlineStr">
        <is>
          <t>genus</t>
        </is>
      </c>
      <c r="D15" s="16" t="inlineStr">
        <is>
          <t>oral squamous cell carcinoma</t>
        </is>
      </c>
      <c r="E15" s="27" t="inlineStr">
        <is>
          <t>decreased</t>
        </is>
      </c>
      <c r="F15" s="16" t="inlineStr">
        <is>
          <t>disease_vs_control</t>
        </is>
      </c>
      <c r="G15" s="16" t="inlineStr">
        <is>
          <t>oral</t>
        </is>
      </c>
      <c r="H15" s="16" t="inlineStr"/>
      <c r="I15" s="16" t="inlineStr">
        <is>
          <t>high</t>
        </is>
      </c>
      <c r="J15" s="18" t="inlineStr">
        <is>
          <t>verified</t>
        </is>
      </c>
      <c r="K15" s="18" t="inlineStr">
        <is>
          <t>keep</t>
        </is>
      </c>
      <c r="L15" s="19" t="inlineStr">
        <is>
          <t>the most abundant genera within the control-related groups were Prevotella, Actinomyces, and Megasphaera</t>
        </is>
      </c>
      <c r="M15" s="20" t="inlineStr"/>
      <c r="N15" s="21" t="inlineStr"/>
      <c r="O15" s="21" t="inlineStr"/>
    </row>
    <row r="16" ht="20" customHeight="1">
      <c r="A16" s="22" t="inlineStr">
        <is>
          <t>Actinomyces</t>
        </is>
      </c>
      <c r="B16" s="22" t="inlineStr">
        <is>
          <t>bacteria</t>
        </is>
      </c>
      <c r="C16" s="22" t="inlineStr">
        <is>
          <t>genus</t>
        </is>
      </c>
      <c r="D16" s="22" t="inlineStr">
        <is>
          <t>oral squamous cell carcinoma</t>
        </is>
      </c>
      <c r="E16" s="27" t="inlineStr">
        <is>
          <t>decreased</t>
        </is>
      </c>
      <c r="F16" s="22" t="inlineStr">
        <is>
          <t>disease_vs_control</t>
        </is>
      </c>
      <c r="G16" s="22" t="inlineStr">
        <is>
          <t>oral</t>
        </is>
      </c>
      <c r="H16" s="22" t="inlineStr"/>
      <c r="I16" s="22" t="inlineStr">
        <is>
          <t>high</t>
        </is>
      </c>
      <c r="J16" s="23" t="inlineStr">
        <is>
          <t>verified</t>
        </is>
      </c>
      <c r="K16" s="23" t="inlineStr">
        <is>
          <t>keep</t>
        </is>
      </c>
      <c r="L16" s="24" t="inlineStr">
        <is>
          <t>the most abundant genera within the control-related groups were Prevotella, Actinomyces, and Megasphaera</t>
        </is>
      </c>
      <c r="M16" s="20" t="inlineStr"/>
      <c r="N16" s="21" t="inlineStr"/>
      <c r="O16" s="21" t="inlineStr"/>
    </row>
    <row r="17" ht="20" customHeight="1">
      <c r="A17" s="16" t="inlineStr">
        <is>
          <t>Megasphaera</t>
        </is>
      </c>
      <c r="B17" s="16" t="inlineStr">
        <is>
          <t>bacteria</t>
        </is>
      </c>
      <c r="C17" s="16" t="inlineStr">
        <is>
          <t>genus</t>
        </is>
      </c>
      <c r="D17" s="16" t="inlineStr">
        <is>
          <t>oral squamous cell carcinoma</t>
        </is>
      </c>
      <c r="E17" s="27" t="inlineStr">
        <is>
          <t>decreased</t>
        </is>
      </c>
      <c r="F17" s="16" t="inlineStr">
        <is>
          <t>disease_vs_control</t>
        </is>
      </c>
      <c r="G17" s="16" t="inlineStr">
        <is>
          <t>oral</t>
        </is>
      </c>
      <c r="H17" s="16" t="inlineStr"/>
      <c r="I17" s="16" t="inlineStr">
        <is>
          <t>high</t>
        </is>
      </c>
      <c r="J17" s="18" t="inlineStr">
        <is>
          <t>verified</t>
        </is>
      </c>
      <c r="K17" s="18" t="inlineStr">
        <is>
          <t>keep</t>
        </is>
      </c>
      <c r="L17" s="19" t="inlineStr">
        <is>
          <t>the most abundant genera within the control-related groups were Prevotella, Actinomyces, and Megasphaera</t>
        </is>
      </c>
      <c r="M17" s="20" t="inlineStr"/>
      <c r="N17" s="21" t="inlineStr"/>
      <c r="O17" s="21" t="inlineStr"/>
    </row>
    <row r="18" ht="20" customHeight="1">
      <c r="A18" s="22" t="inlineStr">
        <is>
          <t>Treponema</t>
        </is>
      </c>
      <c r="B18" s="22" t="inlineStr">
        <is>
          <t>bacteria</t>
        </is>
      </c>
      <c r="C18" s="22" t="inlineStr">
        <is>
          <t>genus</t>
        </is>
      </c>
      <c r="D18" s="22" t="inlineStr">
        <is>
          <t>oral squamous cell carcinoma</t>
        </is>
      </c>
      <c r="E18" s="17" t="inlineStr">
        <is>
          <t>increased</t>
        </is>
      </c>
      <c r="F18" s="22" t="inlineStr">
        <is>
          <t>disease_vs_control</t>
        </is>
      </c>
      <c r="G18" s="22" t="inlineStr">
        <is>
          <t>oral</t>
        </is>
      </c>
      <c r="H18" s="22" t="inlineStr">
        <is>
          <t>&lt;0.001</t>
        </is>
      </c>
      <c r="I18" s="22" t="inlineStr">
        <is>
          <t>medium</t>
        </is>
      </c>
      <c r="J18" s="23" t="inlineStr">
        <is>
          <t>verified</t>
        </is>
      </c>
      <c r="K18" s="23" t="inlineStr">
        <is>
          <t>keep_flagged</t>
        </is>
      </c>
      <c r="L18" s="24" t="inlineStr">
        <is>
          <t>The most common genera among smoker OSCC patients were genus Lactobacillus and genus Treponema</t>
        </is>
      </c>
      <c r="M18" s="20" t="inlineStr"/>
      <c r="N18" s="21" t="inlineStr"/>
      <c r="O18" s="21" t="inlineStr"/>
    </row>
    <row r="19" ht="20" customHeight="1">
      <c r="A19" s="16" t="inlineStr">
        <is>
          <t>Campylobacter rectus/showae</t>
        </is>
      </c>
      <c r="B19" s="16" t="inlineStr">
        <is>
          <t>bacteria</t>
        </is>
      </c>
      <c r="C19" s="16" t="inlineStr">
        <is>
          <t>species</t>
        </is>
      </c>
      <c r="D19" s="16" t="inlineStr">
        <is>
          <t>oral squamous cell carcinoma</t>
        </is>
      </c>
      <c r="E19" s="27" t="inlineStr">
        <is>
          <t>decreased</t>
        </is>
      </c>
      <c r="F19" s="16" t="inlineStr">
        <is>
          <t>disease_vs_control</t>
        </is>
      </c>
      <c r="G19" s="16" t="inlineStr">
        <is>
          <t>oral</t>
        </is>
      </c>
      <c r="H19" s="16" t="inlineStr">
        <is>
          <t>&lt;0.001</t>
        </is>
      </c>
      <c r="I19" s="16" t="inlineStr">
        <is>
          <t>medium</t>
        </is>
      </c>
      <c r="J19" s="18" t="inlineStr">
        <is>
          <t>verified</t>
        </is>
      </c>
      <c r="K19" s="18" t="inlineStr">
        <is>
          <t>keep_flagged</t>
        </is>
      </c>
      <c r="L19" s="19" t="inlineStr">
        <is>
          <t>the only significant zOTU among smoker controls was zOTU 131 Campylobacter rectus/showae</t>
        </is>
      </c>
      <c r="M19" s="20" t="inlineStr"/>
      <c r="N19" s="21" t="inlineStr"/>
      <c r="O19" s="21" t="inlineStr"/>
    </row>
    <row r="20" ht="20" customHeight="1">
      <c r="A20" s="22" t="inlineStr">
        <is>
          <t>Actinomyces odontolyticus</t>
        </is>
      </c>
      <c r="B20" s="22" t="inlineStr">
        <is>
          <t>bacteria</t>
        </is>
      </c>
      <c r="C20" s="22" t="inlineStr">
        <is>
          <t>species</t>
        </is>
      </c>
      <c r="D20" s="22" t="inlineStr">
        <is>
          <t>oral squamous cell carcinoma</t>
        </is>
      </c>
      <c r="E20" s="27" t="inlineStr">
        <is>
          <t>decreased</t>
        </is>
      </c>
      <c r="F20" s="22" t="inlineStr">
        <is>
          <t>treatment_effect</t>
        </is>
      </c>
      <c r="G20" s="22" t="inlineStr">
        <is>
          <t>oral</t>
        </is>
      </c>
      <c r="H20" s="22" t="inlineStr"/>
      <c r="I20" s="22" t="inlineStr">
        <is>
          <t>high</t>
        </is>
      </c>
      <c r="J20" s="23" t="inlineStr">
        <is>
          <t>verified</t>
        </is>
      </c>
      <c r="K20" s="23" t="inlineStr">
        <is>
          <t>keep</t>
        </is>
      </c>
      <c r="L20" s="24"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0" s="20" t="inlineStr"/>
      <c r="N20" s="21" t="inlineStr"/>
      <c r="O20" s="21" t="inlineStr"/>
    </row>
    <row r="21" ht="20" customHeight="1">
      <c r="A21" s="16" t="inlineStr">
        <is>
          <t>Streptococcus sanguinis</t>
        </is>
      </c>
      <c r="B21" s="16" t="inlineStr">
        <is>
          <t>bacteria</t>
        </is>
      </c>
      <c r="C21" s="16" t="inlineStr">
        <is>
          <t>species</t>
        </is>
      </c>
      <c r="D21" s="16" t="inlineStr">
        <is>
          <t>oral squamous cell carcinoma</t>
        </is>
      </c>
      <c r="E21" s="27" t="inlineStr">
        <is>
          <t>decreased</t>
        </is>
      </c>
      <c r="F21" s="16" t="inlineStr">
        <is>
          <t>treatment_effect</t>
        </is>
      </c>
      <c r="G21" s="16" t="inlineStr">
        <is>
          <t>oral</t>
        </is>
      </c>
      <c r="H21" s="16" t="inlineStr"/>
      <c r="I21" s="16" t="inlineStr">
        <is>
          <t>high</t>
        </is>
      </c>
      <c r="J21" s="18" t="inlineStr">
        <is>
          <t>verified</t>
        </is>
      </c>
      <c r="K21" s="18" t="inlineStr">
        <is>
          <t>keep</t>
        </is>
      </c>
      <c r="L21" s="19"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1" s="20" t="inlineStr"/>
      <c r="N21" s="21" t="inlineStr"/>
      <c r="O21" s="21" t="inlineStr"/>
    </row>
    <row r="22" ht="20" customHeight="1">
      <c r="A22" s="22" t="inlineStr">
        <is>
          <t>Veillonella rogosae</t>
        </is>
      </c>
      <c r="B22" s="22" t="inlineStr">
        <is>
          <t>bacteria</t>
        </is>
      </c>
      <c r="C22" s="22" t="inlineStr">
        <is>
          <t>species</t>
        </is>
      </c>
      <c r="D22" s="22" t="inlineStr">
        <is>
          <t>oral squamous cell carcinoma</t>
        </is>
      </c>
      <c r="E22" s="27" t="inlineStr">
        <is>
          <t>decreased</t>
        </is>
      </c>
      <c r="F22" s="22" t="inlineStr">
        <is>
          <t>treatment_effect</t>
        </is>
      </c>
      <c r="G22" s="22" t="inlineStr">
        <is>
          <t>oral</t>
        </is>
      </c>
      <c r="H22" s="22" t="inlineStr"/>
      <c r="I22" s="22" t="inlineStr">
        <is>
          <t>high</t>
        </is>
      </c>
      <c r="J22" s="23" t="inlineStr">
        <is>
          <t>verified</t>
        </is>
      </c>
      <c r="K22" s="23" t="inlineStr">
        <is>
          <t>keep</t>
        </is>
      </c>
      <c r="L22" s="24"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2" s="20" t="inlineStr"/>
      <c r="N22" s="21" t="inlineStr"/>
      <c r="O22" s="21" t="inlineStr"/>
    </row>
    <row r="23" ht="20" customHeight="1">
      <c r="A23" s="16" t="inlineStr">
        <is>
          <t>Fusobacterium nucleatum vincentii</t>
        </is>
      </c>
      <c r="B23" s="16" t="inlineStr">
        <is>
          <t>bacteria</t>
        </is>
      </c>
      <c r="C23" s="16" t="inlineStr">
        <is>
          <t>species</t>
        </is>
      </c>
      <c r="D23" s="16" t="inlineStr">
        <is>
          <t>oral squamous cell carcinoma</t>
        </is>
      </c>
      <c r="E23" s="27" t="inlineStr">
        <is>
          <t>decreased</t>
        </is>
      </c>
      <c r="F23" s="16" t="inlineStr">
        <is>
          <t>treatment_effect</t>
        </is>
      </c>
      <c r="G23" s="16" t="inlineStr">
        <is>
          <t>oral</t>
        </is>
      </c>
      <c r="H23" s="16" t="inlineStr"/>
      <c r="I23" s="16" t="inlineStr">
        <is>
          <t>high</t>
        </is>
      </c>
      <c r="J23" s="18" t="inlineStr">
        <is>
          <t>verified</t>
        </is>
      </c>
      <c r="K23" s="18" t="inlineStr">
        <is>
          <t>keep</t>
        </is>
      </c>
      <c r="L23" s="19"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3" s="20" t="inlineStr"/>
      <c r="N23" s="21" t="inlineStr"/>
      <c r="O23" s="21" t="inlineStr"/>
    </row>
    <row r="24" ht="20" customHeight="1">
      <c r="A24" s="22" t="inlineStr">
        <is>
          <t>Capnocytophaga leadbetterii</t>
        </is>
      </c>
      <c r="B24" s="22" t="inlineStr">
        <is>
          <t>bacteria</t>
        </is>
      </c>
      <c r="C24" s="22" t="inlineStr">
        <is>
          <t>species</t>
        </is>
      </c>
      <c r="D24" s="22" t="inlineStr">
        <is>
          <t>oral squamous cell carcinoma</t>
        </is>
      </c>
      <c r="E24" s="27" t="inlineStr">
        <is>
          <t>decreased</t>
        </is>
      </c>
      <c r="F24" s="22" t="inlineStr">
        <is>
          <t>treatment_effect</t>
        </is>
      </c>
      <c r="G24" s="22" t="inlineStr">
        <is>
          <t>oral</t>
        </is>
      </c>
      <c r="H24" s="22" t="inlineStr"/>
      <c r="I24" s="22" t="inlineStr">
        <is>
          <t>high</t>
        </is>
      </c>
      <c r="J24" s="23" t="inlineStr">
        <is>
          <t>verified</t>
        </is>
      </c>
      <c r="K24" s="23" t="inlineStr">
        <is>
          <t>keep</t>
        </is>
      </c>
      <c r="L24" s="24"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4" s="20" t="inlineStr"/>
      <c r="N24" s="21" t="inlineStr"/>
      <c r="O24" s="21" t="inlineStr"/>
    </row>
    <row r="25" ht="20" customHeight="1">
      <c r="A25" s="16" t="inlineStr">
        <is>
          <t>Abiotrophia defectiva</t>
        </is>
      </c>
      <c r="B25" s="16" t="inlineStr">
        <is>
          <t>bacteria</t>
        </is>
      </c>
      <c r="C25" s="16" t="inlineStr">
        <is>
          <t>species</t>
        </is>
      </c>
      <c r="D25" s="16" t="inlineStr">
        <is>
          <t>oral squamous cell carcinoma</t>
        </is>
      </c>
      <c r="E25" s="27" t="inlineStr">
        <is>
          <t>decreased</t>
        </is>
      </c>
      <c r="F25" s="16" t="inlineStr">
        <is>
          <t>treatment_effect</t>
        </is>
      </c>
      <c r="G25" s="16" t="inlineStr">
        <is>
          <t>oral</t>
        </is>
      </c>
      <c r="H25" s="16" t="inlineStr"/>
      <c r="I25" s="16" t="inlineStr">
        <is>
          <t>high</t>
        </is>
      </c>
      <c r="J25" s="18" t="inlineStr">
        <is>
          <t>verified</t>
        </is>
      </c>
      <c r="K25" s="18" t="inlineStr">
        <is>
          <t>keep</t>
        </is>
      </c>
      <c r="L25" s="19"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5" s="20" t="inlineStr"/>
      <c r="N25" s="21" t="inlineStr"/>
      <c r="O25" s="21" t="inlineStr"/>
    </row>
    <row r="26" ht="20" customHeight="1">
      <c r="A26" s="22" t="inlineStr">
        <is>
          <t>Lautropia mirabilis</t>
        </is>
      </c>
      <c r="B26" s="22" t="inlineStr">
        <is>
          <t>bacteria</t>
        </is>
      </c>
      <c r="C26" s="22" t="inlineStr">
        <is>
          <t>species</t>
        </is>
      </c>
      <c r="D26" s="22" t="inlineStr">
        <is>
          <t>oral squamous cell carcinoma</t>
        </is>
      </c>
      <c r="E26" s="27" t="inlineStr">
        <is>
          <t>decreased</t>
        </is>
      </c>
      <c r="F26" s="22" t="inlineStr">
        <is>
          <t>treatment_effect</t>
        </is>
      </c>
      <c r="G26" s="22" t="inlineStr">
        <is>
          <t>oral</t>
        </is>
      </c>
      <c r="H26" s="22" t="inlineStr"/>
      <c r="I26" s="22" t="inlineStr">
        <is>
          <t>high</t>
        </is>
      </c>
      <c r="J26" s="23" t="inlineStr">
        <is>
          <t>verified</t>
        </is>
      </c>
      <c r="K26" s="23" t="inlineStr">
        <is>
          <t>keep</t>
        </is>
      </c>
      <c r="L26" s="24"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6" s="20" t="inlineStr"/>
      <c r="N26" s="21" t="inlineStr"/>
      <c r="O26" s="21" t="inlineStr"/>
    </row>
    <row r="27" ht="20" customHeight="1">
      <c r="A27" s="16" t="inlineStr">
        <is>
          <t>Solobacterium moorei</t>
        </is>
      </c>
      <c r="B27" s="16" t="inlineStr">
        <is>
          <t>bacteria</t>
        </is>
      </c>
      <c r="C27" s="16" t="inlineStr">
        <is>
          <t>species</t>
        </is>
      </c>
      <c r="D27" s="16" t="inlineStr">
        <is>
          <t>oral squamous cell carcinoma</t>
        </is>
      </c>
      <c r="E27" s="27" t="inlineStr">
        <is>
          <t>decreased</t>
        </is>
      </c>
      <c r="F27" s="16" t="inlineStr">
        <is>
          <t>treatment_effect</t>
        </is>
      </c>
      <c r="G27" s="16" t="inlineStr">
        <is>
          <t>oral</t>
        </is>
      </c>
      <c r="H27" s="16" t="inlineStr"/>
      <c r="I27" s="16" t="inlineStr">
        <is>
          <t>high</t>
        </is>
      </c>
      <c r="J27" s="18" t="inlineStr">
        <is>
          <t>verified</t>
        </is>
      </c>
      <c r="K27" s="18" t="inlineStr">
        <is>
          <t>keep</t>
        </is>
      </c>
      <c r="L27" s="19"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7" s="20" t="inlineStr"/>
      <c r="N27" s="21" t="inlineStr"/>
      <c r="O27" s="21" t="inlineStr"/>
    </row>
    <row r="28" ht="20" customHeight="1">
      <c r="A28" s="22" t="inlineStr">
        <is>
          <t>Porphyromonas endodontalis</t>
        </is>
      </c>
      <c r="B28" s="22" t="inlineStr">
        <is>
          <t>bacteria</t>
        </is>
      </c>
      <c r="C28" s="22" t="inlineStr">
        <is>
          <t>species</t>
        </is>
      </c>
      <c r="D28" s="22" t="inlineStr">
        <is>
          <t>oral squamous cell carcinoma</t>
        </is>
      </c>
      <c r="E28" s="27" t="inlineStr">
        <is>
          <t>decreased</t>
        </is>
      </c>
      <c r="F28" s="22" t="inlineStr">
        <is>
          <t>treatment_effect</t>
        </is>
      </c>
      <c r="G28" s="22" t="inlineStr">
        <is>
          <t>oral</t>
        </is>
      </c>
      <c r="H28" s="22" t="inlineStr"/>
      <c r="I28" s="22" t="inlineStr">
        <is>
          <t>high</t>
        </is>
      </c>
      <c r="J28" s="23" t="inlineStr">
        <is>
          <t>verified</t>
        </is>
      </c>
      <c r="K28" s="23" t="inlineStr">
        <is>
          <t>keep</t>
        </is>
      </c>
      <c r="L28" s="24"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8" s="20" t="inlineStr"/>
      <c r="N28" s="21" t="inlineStr"/>
      <c r="O28" s="21" t="inlineStr"/>
    </row>
    <row r="29" ht="20" customHeight="1">
      <c r="A29" s="16" t="inlineStr">
        <is>
          <t>Mogibacterium diversum/neglectum/pumilum/vescum</t>
        </is>
      </c>
      <c r="B29" s="16" t="inlineStr">
        <is>
          <t>bacteria</t>
        </is>
      </c>
      <c r="C29" s="16" t="inlineStr">
        <is>
          <t>species</t>
        </is>
      </c>
      <c r="D29" s="16" t="inlineStr">
        <is>
          <t>oral squamous cell carcinoma</t>
        </is>
      </c>
      <c r="E29" s="27" t="inlineStr">
        <is>
          <t>decreased</t>
        </is>
      </c>
      <c r="F29" s="16" t="inlineStr">
        <is>
          <t>treatment_effect</t>
        </is>
      </c>
      <c r="G29" s="16" t="inlineStr">
        <is>
          <t>oral</t>
        </is>
      </c>
      <c r="H29" s="16" t="inlineStr"/>
      <c r="I29" s="16" t="inlineStr">
        <is>
          <t>high</t>
        </is>
      </c>
      <c r="J29" s="18" t="inlineStr">
        <is>
          <t>verified</t>
        </is>
      </c>
      <c r="K29" s="18" t="inlineStr">
        <is>
          <t>keep</t>
        </is>
      </c>
      <c r="L29" s="19"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29" s="20" t="inlineStr"/>
      <c r="N29" s="21" t="inlineStr"/>
      <c r="O29" s="21" t="inlineStr"/>
    </row>
    <row r="30" ht="20" customHeight="1">
      <c r="A30" s="22" t="inlineStr">
        <is>
          <t>Leptotrichia buccalis</t>
        </is>
      </c>
      <c r="B30" s="22" t="inlineStr">
        <is>
          <t>bacteria</t>
        </is>
      </c>
      <c r="C30" s="22" t="inlineStr">
        <is>
          <t>species</t>
        </is>
      </c>
      <c r="D30" s="22" t="inlineStr">
        <is>
          <t>oral squamous cell carcinoma</t>
        </is>
      </c>
      <c r="E30" s="27" t="inlineStr">
        <is>
          <t>decreased</t>
        </is>
      </c>
      <c r="F30" s="22" t="inlineStr">
        <is>
          <t>treatment_effect</t>
        </is>
      </c>
      <c r="G30" s="22" t="inlineStr">
        <is>
          <t>oral</t>
        </is>
      </c>
      <c r="H30" s="22" t="inlineStr"/>
      <c r="I30" s="22" t="inlineStr">
        <is>
          <t>high</t>
        </is>
      </c>
      <c r="J30" s="23" t="inlineStr">
        <is>
          <t>verified</t>
        </is>
      </c>
      <c r="K30" s="23" t="inlineStr">
        <is>
          <t>keep</t>
        </is>
      </c>
      <c r="L30" s="24"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30" s="20" t="inlineStr"/>
      <c r="N30" s="21" t="inlineStr"/>
      <c r="O30" s="21" t="inlineStr"/>
    </row>
    <row r="31" ht="20" customHeight="1">
      <c r="A31" s="16" t="inlineStr">
        <is>
          <t>Streptococcus sp.</t>
        </is>
      </c>
      <c r="B31" s="16" t="inlineStr">
        <is>
          <t>bacteria</t>
        </is>
      </c>
      <c r="C31" s="16" t="inlineStr">
        <is>
          <t>species</t>
        </is>
      </c>
      <c r="D31" s="16" t="inlineStr">
        <is>
          <t>oral squamous cell carcinoma</t>
        </is>
      </c>
      <c r="E31" s="27" t="inlineStr">
        <is>
          <t>decreased</t>
        </is>
      </c>
      <c r="F31" s="16" t="inlineStr">
        <is>
          <t>treatment_effect</t>
        </is>
      </c>
      <c r="G31" s="16" t="inlineStr">
        <is>
          <t>oral</t>
        </is>
      </c>
      <c r="H31" s="16" t="inlineStr"/>
      <c r="I31" s="16" t="inlineStr">
        <is>
          <t>high</t>
        </is>
      </c>
      <c r="J31" s="18" t="inlineStr">
        <is>
          <t>verified</t>
        </is>
      </c>
      <c r="K31" s="18" t="inlineStr">
        <is>
          <t>keep</t>
        </is>
      </c>
      <c r="L31" s="19" t="inlineStr">
        <is>
          <t>For the baseline samples, these were zOTU15 Actinomyces odontolyticus/oral_taxon_180, zOTU21 Streptococcus sanguinis, zOTU26 Veillonella rogosae, zOTU47 Fusobacterium nucleatum vincentii, zOTU48 Capnocytophaga leadbetterii, zOTU56 Abiotrophia defectiva, zOTU72 Lautropia mirabilis, zOTU76 Solobacterium moorei, zOTU88 Porphyromonas endodontalis/oral_taxon_285, zOTU102 Mogibacterium diversum/neglectum/pumilum/vescum, zOTU146 Leptotrichia buccalis, and zOTU633 Streptococcus sp.</t>
        </is>
      </c>
      <c r="M31" s="20" t="inlineStr"/>
      <c r="N31" s="21" t="inlineStr"/>
      <c r="O31" s="21" t="inlineStr"/>
    </row>
    <row r="32" ht="20" customHeight="1">
      <c r="A32" s="22" t="inlineStr">
        <is>
          <t>Lactobacillus casei/paracasei/rhamnosus</t>
        </is>
      </c>
      <c r="B32" s="22" t="inlineStr">
        <is>
          <t>bacteria</t>
        </is>
      </c>
      <c r="C32" s="22" t="inlineStr">
        <is>
          <t>species</t>
        </is>
      </c>
      <c r="D32" s="22" t="inlineStr">
        <is>
          <t>oral squamous cell carcinoma</t>
        </is>
      </c>
      <c r="E32" s="17" t="inlineStr">
        <is>
          <t>increased</t>
        </is>
      </c>
      <c r="F32" s="22" t="inlineStr">
        <is>
          <t>treatment_effect</t>
        </is>
      </c>
      <c r="G32" s="22" t="inlineStr">
        <is>
          <t>oral</t>
        </is>
      </c>
      <c r="H32" s="22" t="inlineStr"/>
      <c r="I32" s="22" t="inlineStr">
        <is>
          <t>high</t>
        </is>
      </c>
      <c r="J32" s="23" t="inlineStr">
        <is>
          <t>verified</t>
        </is>
      </c>
      <c r="K32" s="23" t="inlineStr">
        <is>
          <t>keep</t>
        </is>
      </c>
      <c r="L32" s="24" t="inlineStr">
        <is>
          <t>For the follow-up samples, the significantly associated zOTUs were zOTU115 Lactobacillus casei/paracasei/rhamnosus and zOTU163 Actinomyces gerencseriae.</t>
        </is>
      </c>
      <c r="M32" s="20" t="inlineStr"/>
      <c r="N32" s="21" t="inlineStr"/>
      <c r="O32" s="21" t="inlineStr"/>
    </row>
    <row r="33" ht="20" customHeight="1">
      <c r="A33" s="16" t="inlineStr">
        <is>
          <t>Actinomyces gerencseriae</t>
        </is>
      </c>
      <c r="B33" s="16" t="inlineStr">
        <is>
          <t>bacteria</t>
        </is>
      </c>
      <c r="C33" s="16" t="inlineStr">
        <is>
          <t>species</t>
        </is>
      </c>
      <c r="D33" s="16" t="inlineStr">
        <is>
          <t>oral squamous cell carcinoma</t>
        </is>
      </c>
      <c r="E33" s="17" t="inlineStr">
        <is>
          <t>increased</t>
        </is>
      </c>
      <c r="F33" s="16" t="inlineStr">
        <is>
          <t>treatment_effect</t>
        </is>
      </c>
      <c r="G33" s="16" t="inlineStr">
        <is>
          <t>oral</t>
        </is>
      </c>
      <c r="H33" s="16" t="inlineStr"/>
      <c r="I33" s="16" t="inlineStr">
        <is>
          <t>high</t>
        </is>
      </c>
      <c r="J33" s="18" t="inlineStr">
        <is>
          <t>verified</t>
        </is>
      </c>
      <c r="K33" s="18" t="inlineStr">
        <is>
          <t>keep</t>
        </is>
      </c>
      <c r="L33" s="19" t="inlineStr">
        <is>
          <t>For the follow-up samples, the significantly associated zOTUs were zOTU115 Lactobacillus casei/paracasei/rhamnosus and zOTU163 Actinomyces gerencseriae.</t>
        </is>
      </c>
      <c r="M33" s="20" t="inlineStr"/>
      <c r="N33" s="21" t="inlineStr"/>
      <c r="O33" s="21" t="inlineStr"/>
    </row>
    <row r="34" ht="20" customHeight="1">
      <c r="A34" s="22" t="inlineStr">
        <is>
          <t>Porphyromonas gingivalis</t>
        </is>
      </c>
      <c r="B34" s="22" t="inlineStr">
        <is>
          <t>bacteria</t>
        </is>
      </c>
      <c r="C34" s="22" t="inlineStr">
        <is>
          <t>species</t>
        </is>
      </c>
      <c r="D34" s="22" t="inlineStr">
        <is>
          <t>oral squamous cell carcinoma</t>
        </is>
      </c>
      <c r="E34" s="25" t="inlineStr">
        <is>
          <t>unchanged</t>
        </is>
      </c>
      <c r="F34" s="22" t="inlineStr">
        <is>
          <t>disease_vs_control</t>
        </is>
      </c>
      <c r="G34" s="22" t="inlineStr">
        <is>
          <t>oral</t>
        </is>
      </c>
      <c r="H34" s="22" t="inlineStr"/>
      <c r="I34" s="22" t="inlineStr">
        <is>
          <t>high</t>
        </is>
      </c>
      <c r="J34" s="23" t="inlineStr">
        <is>
          <t>verified</t>
        </is>
      </c>
      <c r="K34" s="23" t="inlineStr">
        <is>
          <t>keep</t>
        </is>
      </c>
      <c r="L34" s="24" t="inlineStr">
        <is>
          <t>Porphyromonas gingivalis, however, was not a discriminating factor between OSCC patients and healthy controls or the post-treatment samples in our data.</t>
        </is>
      </c>
      <c r="M34" s="20" t="inlineStr"/>
      <c r="N34" s="21" t="inlineStr"/>
      <c r="O34" s="21" t="inlineStr"/>
    </row>
    <row r="35" ht="20" customHeight="1">
      <c r="A35" s="16" t="inlineStr">
        <is>
          <t>Prevotella histicola</t>
        </is>
      </c>
      <c r="B35" s="16" t="inlineStr">
        <is>
          <t>bacteria</t>
        </is>
      </c>
      <c r="C35" s="16" t="inlineStr">
        <is>
          <t>species</t>
        </is>
      </c>
      <c r="D35" s="16" t="inlineStr">
        <is>
          <t>oral squamous cell carcinoma</t>
        </is>
      </c>
      <c r="E35" s="27" t="inlineStr">
        <is>
          <t>decreased</t>
        </is>
      </c>
      <c r="F35" s="16" t="inlineStr">
        <is>
          <t>disease_vs_control</t>
        </is>
      </c>
      <c r="G35" s="16" t="inlineStr">
        <is>
          <t>oral</t>
        </is>
      </c>
      <c r="H35" s="16" t="inlineStr"/>
      <c r="I35" s="16" t="inlineStr">
        <is>
          <t>low</t>
        </is>
      </c>
      <c r="J35" s="18" t="inlineStr">
        <is>
          <t>verified</t>
        </is>
      </c>
      <c r="K35" s="18" t="inlineStr">
        <is>
          <t>keep_flagged</t>
        </is>
      </c>
      <c r="L35" s="19" t="inlineStr">
        <is>
          <t>the microbial profiles of healthy controls had a higher abundance of bacteria previously associated with health, such as Prevotella histicola, H. parainfluenzae, and F. periodonticum</t>
        </is>
      </c>
      <c r="M35" s="20" t="inlineStr"/>
      <c r="N35" s="21" t="inlineStr"/>
      <c r="O35" s="21" t="inlineStr"/>
    </row>
    <row r="36" ht="20" customHeight="1">
      <c r="A36" s="22" t="inlineStr">
        <is>
          <t>Haemophilus parainfluenzae</t>
        </is>
      </c>
      <c r="B36" s="22" t="inlineStr">
        <is>
          <t>bacteria</t>
        </is>
      </c>
      <c r="C36" s="22" t="inlineStr">
        <is>
          <t>species</t>
        </is>
      </c>
      <c r="D36" s="22" t="inlineStr">
        <is>
          <t>oral squamous cell carcinoma</t>
        </is>
      </c>
      <c r="E36" s="27" t="inlineStr">
        <is>
          <t>decreased</t>
        </is>
      </c>
      <c r="F36" s="22" t="inlineStr">
        <is>
          <t>disease_vs_control</t>
        </is>
      </c>
      <c r="G36" s="22" t="inlineStr">
        <is>
          <t>oral</t>
        </is>
      </c>
      <c r="H36" s="22" t="inlineStr"/>
      <c r="I36" s="22" t="inlineStr">
        <is>
          <t>low</t>
        </is>
      </c>
      <c r="J36" s="23" t="inlineStr">
        <is>
          <t>verified</t>
        </is>
      </c>
      <c r="K36" s="23" t="inlineStr">
        <is>
          <t>keep_flagged</t>
        </is>
      </c>
      <c r="L36" s="24" t="inlineStr">
        <is>
          <t>the microbial profiles of healthy controls had a higher abundance of bacteria previously associated with health, such as Prevotella histicola, H. parainfluenzae, and F. periodonticum</t>
        </is>
      </c>
      <c r="M36" s="20" t="inlineStr"/>
      <c r="N36" s="21" t="inlineStr"/>
      <c r="O36" s="21" t="inlineStr"/>
    </row>
    <row r="37" ht="20" customHeight="1">
      <c r="A37" s="16" t="inlineStr">
        <is>
          <t>Fusobacterium periodonticum</t>
        </is>
      </c>
      <c r="B37" s="16" t="inlineStr">
        <is>
          <t>bacteria</t>
        </is>
      </c>
      <c r="C37" s="16" t="inlineStr">
        <is>
          <t>species</t>
        </is>
      </c>
      <c r="D37" s="16" t="inlineStr">
        <is>
          <t>oral squamous cell carcinoma</t>
        </is>
      </c>
      <c r="E37" s="27" t="inlineStr">
        <is>
          <t>decreased</t>
        </is>
      </c>
      <c r="F37" s="16" t="inlineStr">
        <is>
          <t>disease_vs_control</t>
        </is>
      </c>
      <c r="G37" s="16" t="inlineStr">
        <is>
          <t>oral</t>
        </is>
      </c>
      <c r="H37" s="16" t="inlineStr"/>
      <c r="I37" s="16" t="inlineStr">
        <is>
          <t>low</t>
        </is>
      </c>
      <c r="J37" s="18" t="inlineStr">
        <is>
          <t>verified</t>
        </is>
      </c>
      <c r="K37" s="18" t="inlineStr">
        <is>
          <t>keep_flagged</t>
        </is>
      </c>
      <c r="L37" s="19" t="inlineStr">
        <is>
          <t>the microbial profiles of healthy controls had a higher abundance of bacteria previously associated with health, such as Prevotella histicola, H. parainfluenzae, and F. periodonticum</t>
        </is>
      </c>
      <c r="M37" s="20" t="inlineStr"/>
      <c r="N37" s="21" t="inlineStr"/>
      <c r="O37" s="21" t="inlineStr"/>
    </row>
    <row r="38" ht="20" customHeight="1">
      <c r="A38" s="22" t="inlineStr">
        <is>
          <t>Lactobacillus gasseri</t>
        </is>
      </c>
      <c r="B38" s="22" t="inlineStr">
        <is>
          <t>bacteria</t>
        </is>
      </c>
      <c r="C38" s="22" t="inlineStr">
        <is>
          <t>species</t>
        </is>
      </c>
      <c r="D38" s="22" t="inlineStr">
        <is>
          <t>oral squamous cell carcinoma</t>
        </is>
      </c>
      <c r="E38" s="17" t="inlineStr">
        <is>
          <t>increased</t>
        </is>
      </c>
      <c r="F38" s="22" t="inlineStr">
        <is>
          <t>disease_vs_control</t>
        </is>
      </c>
      <c r="G38" s="22" t="inlineStr">
        <is>
          <t>oral</t>
        </is>
      </c>
      <c r="H38" s="22" t="inlineStr">
        <is>
          <t>&lt;0.001</t>
        </is>
      </c>
      <c r="I38" s="22" t="inlineStr">
        <is>
          <t>medium</t>
        </is>
      </c>
      <c r="J38" s="23" t="inlineStr">
        <is>
          <t>verified</t>
        </is>
      </c>
      <c r="K38" s="23" t="inlineStr">
        <is>
          <t>keep_flagged</t>
        </is>
      </c>
      <c r="L38" s="24" t="inlineStr">
        <is>
          <t>the species related to smoker OSCC patients included several caries-related species such as Lactobacillus gasseri and Lactobacillus fermentum as well as Treponema species T. socranskii and T. maltophilum</t>
        </is>
      </c>
      <c r="M38" s="20" t="inlineStr"/>
      <c r="N38" s="21" t="inlineStr"/>
      <c r="O38" s="21" t="inlineStr"/>
    </row>
    <row r="39" ht="20" customHeight="1">
      <c r="A39" s="16" t="inlineStr">
        <is>
          <t>Lactobacillus fermentum</t>
        </is>
      </c>
      <c r="B39" s="16" t="inlineStr">
        <is>
          <t>bacteria</t>
        </is>
      </c>
      <c r="C39" s="16" t="inlineStr">
        <is>
          <t>species</t>
        </is>
      </c>
      <c r="D39" s="16" t="inlineStr">
        <is>
          <t>oral squamous cell carcinoma</t>
        </is>
      </c>
      <c r="E39" s="17" t="inlineStr">
        <is>
          <t>increased</t>
        </is>
      </c>
      <c r="F39" s="16" t="inlineStr">
        <is>
          <t>disease_vs_control</t>
        </is>
      </c>
      <c r="G39" s="16" t="inlineStr">
        <is>
          <t>oral</t>
        </is>
      </c>
      <c r="H39" s="16" t="inlineStr">
        <is>
          <t>&lt;0.001</t>
        </is>
      </c>
      <c r="I39" s="16" t="inlineStr">
        <is>
          <t>medium</t>
        </is>
      </c>
      <c r="J39" s="18" t="inlineStr">
        <is>
          <t>verified</t>
        </is>
      </c>
      <c r="K39" s="18" t="inlineStr">
        <is>
          <t>keep_flagged</t>
        </is>
      </c>
      <c r="L39" s="19" t="inlineStr">
        <is>
          <t>the species related to smoker OSCC patients included several caries-related species such as Lactobacillus gasseri and Lactobacillus fermentum as well as Treponema species T. socranskii and T. maltophilum</t>
        </is>
      </c>
      <c r="M39" s="20" t="inlineStr"/>
      <c r="N39" s="21" t="inlineStr"/>
      <c r="O39" s="21" t="inlineStr"/>
    </row>
    <row r="40" ht="20" customHeight="1">
      <c r="A40" s="22" t="inlineStr">
        <is>
          <t>Treponema socranskii</t>
        </is>
      </c>
      <c r="B40" s="22" t="inlineStr">
        <is>
          <t>bacteria</t>
        </is>
      </c>
      <c r="C40" s="22" t="inlineStr">
        <is>
          <t>species</t>
        </is>
      </c>
      <c r="D40" s="22" t="inlineStr">
        <is>
          <t>oral squamous cell carcinoma</t>
        </is>
      </c>
      <c r="E40" s="17" t="inlineStr">
        <is>
          <t>increased</t>
        </is>
      </c>
      <c r="F40" s="22" t="inlineStr">
        <is>
          <t>disease_vs_control</t>
        </is>
      </c>
      <c r="G40" s="22" t="inlineStr">
        <is>
          <t>oral</t>
        </is>
      </c>
      <c r="H40" s="22" t="inlineStr">
        <is>
          <t>&lt;0.001</t>
        </is>
      </c>
      <c r="I40" s="22" t="inlineStr">
        <is>
          <t>medium</t>
        </is>
      </c>
      <c r="J40" s="23" t="inlineStr">
        <is>
          <t>verified</t>
        </is>
      </c>
      <c r="K40" s="23" t="inlineStr">
        <is>
          <t>keep_flagged</t>
        </is>
      </c>
      <c r="L40" s="24" t="inlineStr">
        <is>
          <t>the species related to smoker OSCC patients included several caries-related species such as Lactobacillus gasseri and Lactobacillus fermentum as well as Treponema species T. socranskii and T. maltophilum</t>
        </is>
      </c>
      <c r="M40" s="20" t="inlineStr"/>
      <c r="N40" s="21" t="inlineStr"/>
      <c r="O40" s="21" t="inlineStr"/>
    </row>
    <row r="41" ht="20" customHeight="1">
      <c r="A41" s="16" t="inlineStr">
        <is>
          <t>Treponema maltophilum</t>
        </is>
      </c>
      <c r="B41" s="16" t="inlineStr">
        <is>
          <t>bacteria</t>
        </is>
      </c>
      <c r="C41" s="16" t="inlineStr">
        <is>
          <t>species</t>
        </is>
      </c>
      <c r="D41" s="16" t="inlineStr">
        <is>
          <t>oral squamous cell carcinoma</t>
        </is>
      </c>
      <c r="E41" s="17" t="inlineStr">
        <is>
          <t>increased</t>
        </is>
      </c>
      <c r="F41" s="16" t="inlineStr">
        <is>
          <t>disease_vs_control</t>
        </is>
      </c>
      <c r="G41" s="16" t="inlineStr">
        <is>
          <t>oral</t>
        </is>
      </c>
      <c r="H41" s="16" t="inlineStr">
        <is>
          <t>&lt;0.001</t>
        </is>
      </c>
      <c r="I41" s="16" t="inlineStr">
        <is>
          <t>medium</t>
        </is>
      </c>
      <c r="J41" s="18" t="inlineStr">
        <is>
          <t>verified</t>
        </is>
      </c>
      <c r="K41" s="18" t="inlineStr">
        <is>
          <t>keep_flagged</t>
        </is>
      </c>
      <c r="L41" s="19" t="inlineStr">
        <is>
          <t>the species related to smoker OSCC patients included several caries-related species such as Lactobacillus gasseri and Lactobacillus fermentum as well as Treponema species T. socranskii and T. maltophilum</t>
        </is>
      </c>
      <c r="M41" s="20" t="inlineStr"/>
      <c r="N41" s="21" t="inlineStr"/>
      <c r="O41"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41" showDropDown="0" showInputMessage="0" showErrorMessage="0" allowBlank="1" type="list">
      <formula1>"approved,rejected,modified"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9"/>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1690 — Disrupted gut microbiota promotes the progression of chronic kidney disease in 5/6 nephrectomy mice by Bacillus pumilus gavage</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Parvibacter</t>
        </is>
      </c>
      <c r="B3" s="16" t="inlineStr">
        <is>
          <t>bacteria</t>
        </is>
      </c>
      <c r="C3" s="16" t="inlineStr">
        <is>
          <t>genus</t>
        </is>
      </c>
      <c r="D3" s="16" t="inlineStr">
        <is>
          <t>chronic kidney disease</t>
        </is>
      </c>
      <c r="E3" s="27" t="inlineStr">
        <is>
          <t>decreased</t>
        </is>
      </c>
      <c r="F3" s="16" t="inlineStr">
        <is>
          <t>disease_vs_control</t>
        </is>
      </c>
      <c r="G3" s="16" t="inlineStr">
        <is>
          <t>fecal</t>
        </is>
      </c>
      <c r="H3" s="16" t="inlineStr">
        <is>
          <t>0.0047</t>
        </is>
      </c>
      <c r="I3" s="16" t="inlineStr">
        <is>
          <t>high</t>
        </is>
      </c>
      <c r="J3" s="18" t="inlineStr">
        <is>
          <t>verified</t>
        </is>
      </c>
      <c r="K3" s="18" t="inlineStr">
        <is>
          <t>keep</t>
        </is>
      </c>
      <c r="L3" s="19" t="inlineStr">
        <is>
          <t>Parvibacter (p CG vs. SG = 0.0047, p IG vs. SG = 0.0355, Figure 3C), enriched in the SG... The analysis revealed that Parvibacter was negatively correlated with kidney injury, renal fibrosis, glomerulosclerosis, and serum urea nitrogen and positively correlated with body weight.</t>
        </is>
      </c>
      <c r="M3" s="20" t="inlineStr"/>
      <c r="N3" s="21" t="inlineStr"/>
      <c r="O3" s="21" t="inlineStr"/>
    </row>
    <row r="4" ht="20" customHeight="1">
      <c r="A4" s="22" t="inlineStr">
        <is>
          <t>Parvibacter</t>
        </is>
      </c>
      <c r="B4" s="22" t="inlineStr">
        <is>
          <t>bacteria</t>
        </is>
      </c>
      <c r="C4" s="22" t="inlineStr">
        <is>
          <t>genus</t>
        </is>
      </c>
      <c r="D4" s="22" t="inlineStr">
        <is>
          <t>chronic kidney disease</t>
        </is>
      </c>
      <c r="E4" s="27" t="inlineStr">
        <is>
          <t>decreased</t>
        </is>
      </c>
      <c r="F4" s="22" t="inlineStr">
        <is>
          <t>treatment_effect</t>
        </is>
      </c>
      <c r="G4" s="22" t="inlineStr">
        <is>
          <t>fecal</t>
        </is>
      </c>
      <c r="H4" s="22" t="inlineStr">
        <is>
          <t>0.0355</t>
        </is>
      </c>
      <c r="I4" s="22" t="inlineStr">
        <is>
          <t>high</t>
        </is>
      </c>
      <c r="J4" s="23" t="inlineStr">
        <is>
          <t>verified</t>
        </is>
      </c>
      <c r="K4" s="23" t="inlineStr">
        <is>
          <t>keep</t>
        </is>
      </c>
      <c r="L4" s="24" t="inlineStr">
        <is>
          <t>Parvibacter (p CG vs. SG = 0.0047, p IG vs. SG = 0.0355, Figure 3C), enriched in the SG... 16s rRNA and metabolomic analysis revealed that Parvibacter and Enterorhabdus were probiotics related to kidney function.</t>
        </is>
      </c>
      <c r="M4" s="20" t="inlineStr"/>
      <c r="N4" s="21" t="inlineStr"/>
      <c r="O4" s="21" t="inlineStr"/>
    </row>
    <row r="5" ht="20" customHeight="1">
      <c r="A5" s="16" t="inlineStr">
        <is>
          <t>Enterorhabdus</t>
        </is>
      </c>
      <c r="B5" s="16" t="inlineStr">
        <is>
          <t>bacteria</t>
        </is>
      </c>
      <c r="C5" s="16" t="inlineStr">
        <is>
          <t>genus</t>
        </is>
      </c>
      <c r="D5" s="16" t="inlineStr">
        <is>
          <t>chronic kidney disease</t>
        </is>
      </c>
      <c r="E5" s="27" t="inlineStr">
        <is>
          <t>decreased</t>
        </is>
      </c>
      <c r="F5" s="16" t="inlineStr">
        <is>
          <t>treatment_effect</t>
        </is>
      </c>
      <c r="G5" s="16" t="inlineStr">
        <is>
          <t>fecal</t>
        </is>
      </c>
      <c r="H5" s="16" t="inlineStr">
        <is>
          <t>0.0162</t>
        </is>
      </c>
      <c r="I5" s="16" t="inlineStr">
        <is>
          <t>high</t>
        </is>
      </c>
      <c r="J5" s="18" t="inlineStr">
        <is>
          <t>verified</t>
        </is>
      </c>
      <c r="K5" s="18" t="inlineStr">
        <is>
          <t>keep</t>
        </is>
      </c>
      <c r="L5" s="19" t="inlineStr">
        <is>
          <t>Enterorhabdus (p IG vs. SG = 0.0162, Figure 3D)... Enterorhabdus was negatively correlated with kidney injury, renal fibrosis, glomerulosclerosis, and serum urea nitrogen levels.</t>
        </is>
      </c>
      <c r="M5" s="20" t="inlineStr"/>
      <c r="N5" s="21" t="inlineStr"/>
      <c r="O5" s="21" t="inlineStr"/>
    </row>
    <row r="6" ht="20" customHeight="1">
      <c r="A6" s="22" t="inlineStr">
        <is>
          <t>Alistipes</t>
        </is>
      </c>
      <c r="B6" s="22" t="inlineStr">
        <is>
          <t>bacteria</t>
        </is>
      </c>
      <c r="C6" s="22" t="inlineStr">
        <is>
          <t>genus</t>
        </is>
      </c>
      <c r="D6" s="22" t="inlineStr">
        <is>
          <t>chronic kidney disease</t>
        </is>
      </c>
      <c r="E6" s="17" t="inlineStr">
        <is>
          <t>increased</t>
        </is>
      </c>
      <c r="F6" s="22" t="inlineStr">
        <is>
          <t>disease_vs_control</t>
        </is>
      </c>
      <c r="G6" s="22" t="inlineStr">
        <is>
          <t>fecal</t>
        </is>
      </c>
      <c r="H6" s="22" t="inlineStr">
        <is>
          <t>0.0226</t>
        </is>
      </c>
      <c r="I6" s="22" t="inlineStr">
        <is>
          <t>high</t>
        </is>
      </c>
      <c r="J6" s="23" t="inlineStr">
        <is>
          <t>verified</t>
        </is>
      </c>
      <c r="K6" s="23" t="inlineStr">
        <is>
          <t>keep_flagged</t>
        </is>
      </c>
      <c r="L6" s="24" t="inlineStr">
        <is>
          <t>Alistipes (p CG vs. SG = 0.0226, p IG vs. SG = 0.0411, Figure 3E)... enriched in the 5/6 Nx group. The analysis revealed that... Alistipes was negatively correlated with kidney injury, renal fibrosis, and glomerulosclerosis.</t>
        </is>
      </c>
      <c r="M6" s="20" t="inlineStr"/>
      <c r="N6" s="21" t="inlineStr"/>
      <c r="O6" s="21" t="inlineStr"/>
    </row>
    <row r="7" ht="20" customHeight="1">
      <c r="A7" s="16" t="inlineStr">
        <is>
          <t>Alistipes</t>
        </is>
      </c>
      <c r="B7" s="16" t="inlineStr">
        <is>
          <t>bacteria</t>
        </is>
      </c>
      <c r="C7" s="16" t="inlineStr">
        <is>
          <t>genus</t>
        </is>
      </c>
      <c r="D7" s="16" t="inlineStr">
        <is>
          <t>chronic kidney disease</t>
        </is>
      </c>
      <c r="E7" s="17" t="inlineStr">
        <is>
          <t>increased</t>
        </is>
      </c>
      <c r="F7" s="16" t="inlineStr">
        <is>
          <t>treatment_effect</t>
        </is>
      </c>
      <c r="G7" s="16" t="inlineStr">
        <is>
          <t>fecal</t>
        </is>
      </c>
      <c r="H7" s="16" t="inlineStr">
        <is>
          <t>0.0411</t>
        </is>
      </c>
      <c r="I7" s="16" t="inlineStr">
        <is>
          <t>high</t>
        </is>
      </c>
      <c r="J7" s="18" t="inlineStr">
        <is>
          <t>verified</t>
        </is>
      </c>
      <c r="K7" s="18" t="inlineStr">
        <is>
          <t>keep_flagged</t>
        </is>
      </c>
      <c r="L7" s="19" t="inlineStr">
        <is>
          <t>Alistipes (p CG vs. SG = 0.0226, p IG vs. SG = 0.0411, Figure 3E)... enriched in the 5/6 Nx group.</t>
        </is>
      </c>
      <c r="M7" s="20" t="inlineStr"/>
      <c r="N7" s="21" t="inlineStr"/>
      <c r="O7" s="21" t="inlineStr"/>
    </row>
    <row r="8" ht="20" customHeight="1">
      <c r="A8" s="22" t="inlineStr">
        <is>
          <t>Odoribacter</t>
        </is>
      </c>
      <c r="B8" s="22" t="inlineStr">
        <is>
          <t>bacteria</t>
        </is>
      </c>
      <c r="C8" s="22" t="inlineStr">
        <is>
          <t>genus</t>
        </is>
      </c>
      <c r="D8" s="22" t="inlineStr">
        <is>
          <t>chronic kidney disease</t>
        </is>
      </c>
      <c r="E8" s="17" t="inlineStr">
        <is>
          <t>increased</t>
        </is>
      </c>
      <c r="F8" s="22" t="inlineStr">
        <is>
          <t>disease_vs_control</t>
        </is>
      </c>
      <c r="G8" s="22" t="inlineStr">
        <is>
          <t>fecal</t>
        </is>
      </c>
      <c r="H8" s="22" t="inlineStr">
        <is>
          <t>0.0105</t>
        </is>
      </c>
      <c r="I8" s="22" t="inlineStr">
        <is>
          <t>high</t>
        </is>
      </c>
      <c r="J8" s="23" t="inlineStr">
        <is>
          <t>verified</t>
        </is>
      </c>
      <c r="K8" s="23" t="inlineStr">
        <is>
          <t>keep</t>
        </is>
      </c>
      <c r="L8" s="24" t="inlineStr">
        <is>
          <t>Odoribacter (p CG vs. SG = 0.0105, Figure 3F), enriched in the 5/6 Nx group... Odoribacter was positively correlated with kidney injury, renal fibrosis, and serum urea nitrogen and negatively correlated with body weight.</t>
        </is>
      </c>
      <c r="M8" s="20" t="inlineStr"/>
      <c r="N8" s="21" t="inlineStr"/>
      <c r="O8" s="21" t="inlineStr"/>
    </row>
    <row r="9" ht="20" customHeight="1">
      <c r="A9" s="16" t="inlineStr">
        <is>
          <t>Bacillus pumilus</t>
        </is>
      </c>
      <c r="B9" s="16" t="inlineStr">
        <is>
          <t>bacteria</t>
        </is>
      </c>
      <c r="C9" s="16" t="inlineStr">
        <is>
          <t>species</t>
        </is>
      </c>
      <c r="D9" s="16" t="inlineStr">
        <is>
          <t>chronic kidney disease</t>
        </is>
      </c>
      <c r="E9" s="17" t="inlineStr">
        <is>
          <t>increased</t>
        </is>
      </c>
      <c r="F9" s="16" t="inlineStr">
        <is>
          <t>treatment_effect</t>
        </is>
      </c>
      <c r="G9" s="16" t="inlineStr">
        <is>
          <t>fecal</t>
        </is>
      </c>
      <c r="H9" s="16" t="inlineStr"/>
      <c r="I9" s="16" t="inlineStr">
        <is>
          <t>medium</t>
        </is>
      </c>
      <c r="J9" s="18" t="inlineStr">
        <is>
          <t>verified</t>
        </is>
      </c>
      <c r="K9" s="18" t="inlineStr">
        <is>
          <t>keep_flagged</t>
        </is>
      </c>
      <c r="L9" s="19" t="inlineStr">
        <is>
          <t>B. pumilus intervention exacerbated gut microbial homeostasis in CKD mice and increased serum creatinine and urea nitrogen levels, further aggravating kidney damage.</t>
        </is>
      </c>
      <c r="M9" s="20" t="inlineStr"/>
      <c r="N9" s="21" t="inlineStr"/>
      <c r="O9"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9" showDropDown="0" showInputMessage="0" showErrorMessage="0" allowBlank="1" type="list">
      <formula1>"approved,rejected,modified"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6"/>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1874 — Characteristics of tongue coating microbiota in diabetic and non-diabetic kidney patients receiving hemodialysis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Firmicutes</t>
        </is>
      </c>
      <c r="B3" s="16" t="inlineStr">
        <is>
          <t>bacteria</t>
        </is>
      </c>
      <c r="C3" s="16" t="inlineStr">
        <is>
          <t>phylum</t>
        </is>
      </c>
      <c r="D3" s="16" t="inlineStr">
        <is>
          <t>chronic kidney disease</t>
        </is>
      </c>
      <c r="E3" s="17" t="inlineStr">
        <is>
          <t>increased</t>
        </is>
      </c>
      <c r="F3" s="16" t="inlineStr">
        <is>
          <t>disease_vs_control</t>
        </is>
      </c>
      <c r="G3" s="16" t="inlineStr">
        <is>
          <t>oral</t>
        </is>
      </c>
      <c r="H3" s="16" t="inlineStr">
        <is>
          <t>&lt;0.05</t>
        </is>
      </c>
      <c r="I3" s="16" t="inlineStr">
        <is>
          <t>high</t>
        </is>
      </c>
      <c r="J3" s="18" t="inlineStr">
        <is>
          <t>verified</t>
        </is>
      </c>
      <c r="K3" s="18" t="inlineStr">
        <is>
          <t>keep</t>
        </is>
      </c>
      <c r="L3" s="19" t="inlineStr">
        <is>
          <t>Multi-group comparison showed that the relative abundance of Firmicutes, Chloroflexi, and Synergistetes changed significantly(p &lt; 0. 05) in nonDM_HD, DM_HD, and HC. Compared with the HC group, the relative abundance of all three phyla increased significantly(p &lt; 0. 05) in nonDM_HD, and the relative abundance of Firmicutes increased significantly (p &lt; 0. 05) in DM_HD</t>
        </is>
      </c>
      <c r="M3" s="20" t="inlineStr"/>
      <c r="N3" s="21" t="inlineStr"/>
      <c r="O3" s="21" t="inlineStr"/>
    </row>
    <row r="4" ht="20" customHeight="1">
      <c r="A4" s="22" t="inlineStr">
        <is>
          <t>Chloroflexi</t>
        </is>
      </c>
      <c r="B4" s="22" t="inlineStr">
        <is>
          <t>bacteria</t>
        </is>
      </c>
      <c r="C4" s="22" t="inlineStr">
        <is>
          <t>phylum</t>
        </is>
      </c>
      <c r="D4" s="22" t="inlineStr">
        <is>
          <t>chronic kidney disease</t>
        </is>
      </c>
      <c r="E4" s="17" t="inlineStr">
        <is>
          <t>increased</t>
        </is>
      </c>
      <c r="F4" s="22" t="inlineStr">
        <is>
          <t>disease_vs_control</t>
        </is>
      </c>
      <c r="G4" s="22" t="inlineStr">
        <is>
          <t>oral</t>
        </is>
      </c>
      <c r="H4" s="22" t="inlineStr">
        <is>
          <t>&lt;0.05</t>
        </is>
      </c>
      <c r="I4" s="22" t="inlineStr">
        <is>
          <t>high</t>
        </is>
      </c>
      <c r="J4" s="23" t="inlineStr">
        <is>
          <t>verified</t>
        </is>
      </c>
      <c r="K4" s="23" t="inlineStr">
        <is>
          <t>keep</t>
        </is>
      </c>
      <c r="L4" s="24" t="inlineStr">
        <is>
          <t>Multi-group comparison showed that the relative abundance of Firmicutes, Chloroflexi, and Synergistetes changed significantly(p &lt; 0. 05) in nonDM_HD, DM_HD, and HC. Compared with the HC group, the relative abundance of all three phyla increased significantly(p &lt; 0. 05) in nonDM_HD</t>
        </is>
      </c>
      <c r="M4" s="20" t="inlineStr"/>
      <c r="N4" s="21" t="inlineStr"/>
      <c r="O4" s="21" t="inlineStr"/>
    </row>
    <row r="5" ht="20" customHeight="1">
      <c r="A5" s="16" t="inlineStr">
        <is>
          <t>Synergistetes</t>
        </is>
      </c>
      <c r="B5" s="16" t="inlineStr">
        <is>
          <t>bacteria</t>
        </is>
      </c>
      <c r="C5" s="16" t="inlineStr">
        <is>
          <t>phylum</t>
        </is>
      </c>
      <c r="D5" s="16" t="inlineStr">
        <is>
          <t>chronic kidney disease</t>
        </is>
      </c>
      <c r="E5" s="17" t="inlineStr">
        <is>
          <t>increased</t>
        </is>
      </c>
      <c r="F5" s="16" t="inlineStr">
        <is>
          <t>disease_vs_control</t>
        </is>
      </c>
      <c r="G5" s="16" t="inlineStr">
        <is>
          <t>oral</t>
        </is>
      </c>
      <c r="H5" s="16" t="inlineStr">
        <is>
          <t>&lt;0.05</t>
        </is>
      </c>
      <c r="I5" s="16" t="inlineStr">
        <is>
          <t>high</t>
        </is>
      </c>
      <c r="J5" s="18" t="inlineStr">
        <is>
          <t>verified</t>
        </is>
      </c>
      <c r="K5" s="18" t="inlineStr">
        <is>
          <t>keep</t>
        </is>
      </c>
      <c r="L5" s="19" t="inlineStr">
        <is>
          <t>Multi-group comparison showed that the relative abundance of Firmicutes, Chloroflexi, and Synergistetes changed significantly(p &lt; 0. 05) in nonDM_HD, DM_HD, and HC. Compared with the HC group, the relative abundance of all three phyla increased significantly(p &lt; 0. 05) in nonDM_HD</t>
        </is>
      </c>
      <c r="M5" s="20" t="inlineStr"/>
      <c r="N5" s="21" t="inlineStr"/>
      <c r="O5" s="21" t="inlineStr"/>
    </row>
    <row r="6" ht="20" customHeight="1">
      <c r="A6" s="22" t="inlineStr">
        <is>
          <t>Streptococcus</t>
        </is>
      </c>
      <c r="B6" s="22" t="inlineStr">
        <is>
          <t>bacteria</t>
        </is>
      </c>
      <c r="C6" s="22" t="inlineStr">
        <is>
          <t>genus</t>
        </is>
      </c>
      <c r="D6" s="22" t="inlineStr">
        <is>
          <t>chronic kidney disease</t>
        </is>
      </c>
      <c r="E6" s="17" t="inlineStr">
        <is>
          <t>increased</t>
        </is>
      </c>
      <c r="F6" s="22" t="inlineStr">
        <is>
          <t>disease_vs_control</t>
        </is>
      </c>
      <c r="G6" s="22" t="inlineStr">
        <is>
          <t>oral</t>
        </is>
      </c>
      <c r="H6" s="22" t="inlineStr">
        <is>
          <t>&lt;0.05</t>
        </is>
      </c>
      <c r="I6" s="22" t="inlineStr">
        <is>
          <t>high</t>
        </is>
      </c>
      <c r="J6" s="23" t="inlineStr">
        <is>
          <t>verified</t>
        </is>
      </c>
      <c r="K6" s="23" t="inlineStr">
        <is>
          <t>keep</t>
        </is>
      </c>
      <c r="L6" s="24" t="inlineStr">
        <is>
          <t>The abundance of Streptococcus, Lactobacillus, Ruminococcaceae G1, Ligilactobacillus and Abiotrophia showed a significant increase (p &lt; 0. 05) in DM_HD and nonDM_HD compared with HC</t>
        </is>
      </c>
      <c r="M6" s="20" t="inlineStr"/>
      <c r="N6" s="21" t="inlineStr"/>
      <c r="O6" s="21" t="inlineStr"/>
    </row>
    <row r="7" ht="20" customHeight="1">
      <c r="A7" s="16" t="inlineStr">
        <is>
          <t>Lactobacillus</t>
        </is>
      </c>
      <c r="B7" s="16" t="inlineStr">
        <is>
          <t>bacteria</t>
        </is>
      </c>
      <c r="C7" s="16" t="inlineStr">
        <is>
          <t>genus</t>
        </is>
      </c>
      <c r="D7" s="16" t="inlineStr">
        <is>
          <t>chronic kidney disease</t>
        </is>
      </c>
      <c r="E7" s="17" t="inlineStr">
        <is>
          <t>increased</t>
        </is>
      </c>
      <c r="F7" s="16" t="inlineStr">
        <is>
          <t>disease_vs_control</t>
        </is>
      </c>
      <c r="G7" s="16" t="inlineStr">
        <is>
          <t>oral</t>
        </is>
      </c>
      <c r="H7" s="16" t="inlineStr">
        <is>
          <t>&lt;0.05</t>
        </is>
      </c>
      <c r="I7" s="16" t="inlineStr">
        <is>
          <t>high</t>
        </is>
      </c>
      <c r="J7" s="18" t="inlineStr">
        <is>
          <t>verified</t>
        </is>
      </c>
      <c r="K7" s="18" t="inlineStr">
        <is>
          <t>keep</t>
        </is>
      </c>
      <c r="L7" s="19" t="inlineStr">
        <is>
          <t>The abundance of Streptococcus, Lactobacillus, Ruminococcaceae G1, Ligilactobacillus and Abiotrophia showed a significant increase (p &lt; 0. 05) in DM_HD and nonDM_HD compared with HC</t>
        </is>
      </c>
      <c r="M7" s="20" t="inlineStr"/>
      <c r="N7" s="21" t="inlineStr"/>
      <c r="O7" s="21" t="inlineStr"/>
    </row>
    <row r="8" ht="20" customHeight="1">
      <c r="A8" s="22" t="inlineStr">
        <is>
          <t>Ruminococcaceae G1</t>
        </is>
      </c>
      <c r="B8" s="22" t="inlineStr">
        <is>
          <t>bacteria</t>
        </is>
      </c>
      <c r="C8" s="22" t="inlineStr">
        <is>
          <t>genus</t>
        </is>
      </c>
      <c r="D8" s="22" t="inlineStr">
        <is>
          <t>chronic kidney disease</t>
        </is>
      </c>
      <c r="E8" s="17" t="inlineStr">
        <is>
          <t>increased</t>
        </is>
      </c>
      <c r="F8" s="22" t="inlineStr">
        <is>
          <t>disease_vs_control</t>
        </is>
      </c>
      <c r="G8" s="22" t="inlineStr">
        <is>
          <t>oral</t>
        </is>
      </c>
      <c r="H8" s="22" t="inlineStr">
        <is>
          <t>&lt;0.05</t>
        </is>
      </c>
      <c r="I8" s="22" t="inlineStr">
        <is>
          <t>high</t>
        </is>
      </c>
      <c r="J8" s="23" t="inlineStr">
        <is>
          <t>verified</t>
        </is>
      </c>
      <c r="K8" s="23" t="inlineStr">
        <is>
          <t>keep</t>
        </is>
      </c>
      <c r="L8" s="24" t="inlineStr">
        <is>
          <t>The abundance of Streptococcus, Lactobacillus, Ruminococcaceae G1, Ligilactobacillus and Abiotrophia showed a significant increase (p &lt; 0. 05) in DM_HD and nonDM_HD compared with HC</t>
        </is>
      </c>
      <c r="M8" s="20" t="inlineStr"/>
      <c r="N8" s="21" t="inlineStr"/>
      <c r="O8" s="21" t="inlineStr"/>
    </row>
    <row r="9" ht="20" customHeight="1">
      <c r="A9" s="16" t="inlineStr">
        <is>
          <t>Ligilactobacillus</t>
        </is>
      </c>
      <c r="B9" s="16" t="inlineStr">
        <is>
          <t>bacteria</t>
        </is>
      </c>
      <c r="C9" s="16" t="inlineStr">
        <is>
          <t>genus</t>
        </is>
      </c>
      <c r="D9" s="16" t="inlineStr">
        <is>
          <t>chronic kidney disease</t>
        </is>
      </c>
      <c r="E9" s="17" t="inlineStr">
        <is>
          <t>increased</t>
        </is>
      </c>
      <c r="F9" s="16" t="inlineStr">
        <is>
          <t>disease_vs_control</t>
        </is>
      </c>
      <c r="G9" s="16" t="inlineStr">
        <is>
          <t>oral</t>
        </is>
      </c>
      <c r="H9" s="16" t="inlineStr">
        <is>
          <t>&lt;0.05</t>
        </is>
      </c>
      <c r="I9" s="16" t="inlineStr">
        <is>
          <t>high</t>
        </is>
      </c>
      <c r="J9" s="18" t="inlineStr">
        <is>
          <t>verified</t>
        </is>
      </c>
      <c r="K9" s="18" t="inlineStr">
        <is>
          <t>keep</t>
        </is>
      </c>
      <c r="L9" s="19" t="inlineStr">
        <is>
          <t>The abundance of Streptococcus, Lactobacillus, Ruminococcaceae G1, Ligilactobacillus and Abiotrophia showed a significant increase (p &lt; 0. 05) in DM_HD and nonDM_HD compared with HC</t>
        </is>
      </c>
      <c r="M9" s="20" t="inlineStr"/>
      <c r="N9" s="21" t="inlineStr"/>
      <c r="O9" s="21" t="inlineStr"/>
    </row>
    <row r="10" ht="20" customHeight="1">
      <c r="A10" s="22" t="inlineStr">
        <is>
          <t>Abiotrophia</t>
        </is>
      </c>
      <c r="B10" s="22" t="inlineStr">
        <is>
          <t>bacteria</t>
        </is>
      </c>
      <c r="C10" s="22" t="inlineStr">
        <is>
          <t>genus</t>
        </is>
      </c>
      <c r="D10" s="22" t="inlineStr">
        <is>
          <t>chronic kidney disease</t>
        </is>
      </c>
      <c r="E10" s="17" t="inlineStr">
        <is>
          <t>increased</t>
        </is>
      </c>
      <c r="F10" s="22" t="inlineStr">
        <is>
          <t>disease_vs_control</t>
        </is>
      </c>
      <c r="G10" s="22" t="inlineStr">
        <is>
          <t>oral</t>
        </is>
      </c>
      <c r="H10" s="22" t="inlineStr">
        <is>
          <t>&lt;0.05</t>
        </is>
      </c>
      <c r="I10" s="22" t="inlineStr">
        <is>
          <t>high</t>
        </is>
      </c>
      <c r="J10" s="23" t="inlineStr">
        <is>
          <t>verified</t>
        </is>
      </c>
      <c r="K10" s="23" t="inlineStr">
        <is>
          <t>keep</t>
        </is>
      </c>
      <c r="L10" s="24" t="inlineStr">
        <is>
          <t>The abundance of Streptococcus, Lactobacillus, Ruminococcaceae G1, Ligilactobacillus and Abiotrophia showed a significant increase (p &lt; 0. 05) in DM_HD and nonDM_HD compared with HC</t>
        </is>
      </c>
      <c r="M10" s="20" t="inlineStr"/>
      <c r="N10" s="21" t="inlineStr"/>
      <c r="O10" s="21" t="inlineStr"/>
    </row>
    <row r="11" ht="20" customHeight="1">
      <c r="A11" s="16" t="inlineStr">
        <is>
          <t>Haemophilus</t>
        </is>
      </c>
      <c r="B11" s="16" t="inlineStr">
        <is>
          <t>bacteria</t>
        </is>
      </c>
      <c r="C11" s="16" t="inlineStr">
        <is>
          <t>genus</t>
        </is>
      </c>
      <c r="D11" s="16" t="inlineStr">
        <is>
          <t>chronic kidney disease</t>
        </is>
      </c>
      <c r="E11" s="27" t="inlineStr">
        <is>
          <t>decreased</t>
        </is>
      </c>
      <c r="F11" s="16" t="inlineStr">
        <is>
          <t>disease_vs_control</t>
        </is>
      </c>
      <c r="G11" s="16" t="inlineStr">
        <is>
          <t>oral</t>
        </is>
      </c>
      <c r="H11" s="16" t="inlineStr">
        <is>
          <t>&lt;0.05</t>
        </is>
      </c>
      <c r="I11" s="16" t="inlineStr">
        <is>
          <t>high</t>
        </is>
      </c>
      <c r="J11" s="18" t="inlineStr">
        <is>
          <t>verified</t>
        </is>
      </c>
      <c r="K11" s="18" t="inlineStr">
        <is>
          <t>keep</t>
        </is>
      </c>
      <c r="L11" s="19" t="inlineStr">
        <is>
          <t>Haemophilus, Lachnoanaerobaculum, Peptostreptococcaceae G1, Peptostreptococcus showed a significant decrease (p &lt; 0. 05) respectively</t>
        </is>
      </c>
      <c r="M11" s="20" t="inlineStr"/>
      <c r="N11" s="21" t="inlineStr"/>
      <c r="O11" s="21" t="inlineStr"/>
    </row>
    <row r="12" ht="20" customHeight="1">
      <c r="A12" s="22" t="inlineStr">
        <is>
          <t>Lachnoanaerobaculum</t>
        </is>
      </c>
      <c r="B12" s="22" t="inlineStr">
        <is>
          <t>bacteria</t>
        </is>
      </c>
      <c r="C12" s="22" t="inlineStr">
        <is>
          <t>genus</t>
        </is>
      </c>
      <c r="D12" s="22" t="inlineStr">
        <is>
          <t>chronic kidney disease</t>
        </is>
      </c>
      <c r="E12" s="27" t="inlineStr">
        <is>
          <t>decreased</t>
        </is>
      </c>
      <c r="F12" s="22" t="inlineStr">
        <is>
          <t>disease_vs_control</t>
        </is>
      </c>
      <c r="G12" s="22" t="inlineStr">
        <is>
          <t>oral</t>
        </is>
      </c>
      <c r="H12" s="22" t="inlineStr">
        <is>
          <t>&lt;0.05</t>
        </is>
      </c>
      <c r="I12" s="22" t="inlineStr">
        <is>
          <t>high</t>
        </is>
      </c>
      <c r="J12" s="23" t="inlineStr">
        <is>
          <t>verified</t>
        </is>
      </c>
      <c r="K12" s="23" t="inlineStr">
        <is>
          <t>keep</t>
        </is>
      </c>
      <c r="L12" s="24" t="inlineStr">
        <is>
          <t>Haemophilus, Lachnoanaerobaculum, Peptostreptococcaceae G1, Peptostreptococcus showed a significant decrease (p &lt; 0. 05) respectively</t>
        </is>
      </c>
      <c r="M12" s="20" t="inlineStr"/>
      <c r="N12" s="21" t="inlineStr"/>
      <c r="O12" s="21" t="inlineStr"/>
    </row>
    <row r="13" ht="20" customHeight="1">
      <c r="A13" s="16" t="inlineStr">
        <is>
          <t>Peptostreptococcaceae G1</t>
        </is>
      </c>
      <c r="B13" s="16" t="inlineStr">
        <is>
          <t>bacteria</t>
        </is>
      </c>
      <c r="C13" s="16" t="inlineStr">
        <is>
          <t>genus</t>
        </is>
      </c>
      <c r="D13" s="16" t="inlineStr">
        <is>
          <t>chronic kidney disease</t>
        </is>
      </c>
      <c r="E13" s="27" t="inlineStr">
        <is>
          <t>decreased</t>
        </is>
      </c>
      <c r="F13" s="16" t="inlineStr">
        <is>
          <t>disease_vs_control</t>
        </is>
      </c>
      <c r="G13" s="16" t="inlineStr">
        <is>
          <t>oral</t>
        </is>
      </c>
      <c r="H13" s="16" t="inlineStr">
        <is>
          <t>&lt;0.05</t>
        </is>
      </c>
      <c r="I13" s="16" t="inlineStr">
        <is>
          <t>high</t>
        </is>
      </c>
      <c r="J13" s="18" t="inlineStr">
        <is>
          <t>verified</t>
        </is>
      </c>
      <c r="K13" s="18" t="inlineStr">
        <is>
          <t>keep</t>
        </is>
      </c>
      <c r="L13" s="19" t="inlineStr">
        <is>
          <t>Haemophilus, Lachnoanaerobaculum, Peptostreptococcaceae G1, Peptostreptococcus showed a significant decrease (p &lt; 0. 05) respectively</t>
        </is>
      </c>
      <c r="M13" s="20" t="inlineStr"/>
      <c r="N13" s="21" t="inlineStr"/>
      <c r="O13" s="21" t="inlineStr"/>
    </row>
    <row r="14" ht="20" customHeight="1">
      <c r="A14" s="22" t="inlineStr">
        <is>
          <t>Peptostreptococcus</t>
        </is>
      </c>
      <c r="B14" s="22" t="inlineStr">
        <is>
          <t>bacteria</t>
        </is>
      </c>
      <c r="C14" s="22" t="inlineStr">
        <is>
          <t>genus</t>
        </is>
      </c>
      <c r="D14" s="22" t="inlineStr">
        <is>
          <t>chronic kidney disease</t>
        </is>
      </c>
      <c r="E14" s="27" t="inlineStr">
        <is>
          <t>decreased</t>
        </is>
      </c>
      <c r="F14" s="22" t="inlineStr">
        <is>
          <t>disease_vs_control</t>
        </is>
      </c>
      <c r="G14" s="22" t="inlineStr">
        <is>
          <t>oral</t>
        </is>
      </c>
      <c r="H14" s="22" t="inlineStr">
        <is>
          <t>&lt;0.05</t>
        </is>
      </c>
      <c r="I14" s="22" t="inlineStr">
        <is>
          <t>high</t>
        </is>
      </c>
      <c r="J14" s="23" t="inlineStr">
        <is>
          <t>verified</t>
        </is>
      </c>
      <c r="K14" s="23" t="inlineStr">
        <is>
          <t>keep</t>
        </is>
      </c>
      <c r="L14" s="24" t="inlineStr">
        <is>
          <t>Haemophilus, Lachnoanaerobaculum, Peptostreptococcaceae G1, Peptostreptococcus showed a significant decrease (p &lt; 0. 05) respectively</t>
        </is>
      </c>
      <c r="M14" s="20" t="inlineStr"/>
      <c r="N14" s="21" t="inlineStr"/>
      <c r="O14" s="21" t="inlineStr"/>
    </row>
    <row r="15" ht="20" customHeight="1">
      <c r="A15" s="16" t="inlineStr">
        <is>
          <t>Actinomyces</t>
        </is>
      </c>
      <c r="B15" s="16" t="inlineStr">
        <is>
          <t>bacteria</t>
        </is>
      </c>
      <c r="C15" s="16" t="inlineStr">
        <is>
          <t>genus</t>
        </is>
      </c>
      <c r="D15" s="16" t="inlineStr">
        <is>
          <t>chronic kidney disease</t>
        </is>
      </c>
      <c r="E15" s="27" t="inlineStr">
        <is>
          <t>decreased</t>
        </is>
      </c>
      <c r="F15" s="16" t="inlineStr">
        <is>
          <t>disease_vs_control</t>
        </is>
      </c>
      <c r="G15" s="16" t="inlineStr">
        <is>
          <t>oral</t>
        </is>
      </c>
      <c r="H15" s="16" t="inlineStr">
        <is>
          <t>&lt;0.05</t>
        </is>
      </c>
      <c r="I15" s="16" t="inlineStr">
        <is>
          <t>high</t>
        </is>
      </c>
      <c r="J15" s="18" t="inlineStr">
        <is>
          <t>verified</t>
        </is>
      </c>
      <c r="K15" s="18" t="inlineStr">
        <is>
          <t>keep</t>
        </is>
      </c>
      <c r="L15" s="19" t="inlineStr">
        <is>
          <t>Actinomyces showed a significant decrease in nonDM_HD compared with other groups (p &lt; 0. 05)</t>
        </is>
      </c>
      <c r="M15" s="20" t="inlineStr"/>
      <c r="N15" s="21" t="inlineStr"/>
      <c r="O15" s="21" t="inlineStr"/>
    </row>
    <row r="16" ht="20" customHeight="1">
      <c r="A16" s="22" t="inlineStr">
        <is>
          <t>Gemella</t>
        </is>
      </c>
      <c r="B16" s="22" t="inlineStr">
        <is>
          <t>bacteria</t>
        </is>
      </c>
      <c r="C16" s="22" t="inlineStr">
        <is>
          <t>genus</t>
        </is>
      </c>
      <c r="D16" s="22" t="inlineStr">
        <is>
          <t>chronic kidney disease</t>
        </is>
      </c>
      <c r="E16" s="27" t="inlineStr">
        <is>
          <t>decreased</t>
        </is>
      </c>
      <c r="F16" s="22" t="inlineStr">
        <is>
          <t>disease_vs_control</t>
        </is>
      </c>
      <c r="G16" s="22" t="inlineStr">
        <is>
          <t>oral</t>
        </is>
      </c>
      <c r="H16" s="22" t="inlineStr">
        <is>
          <t>&lt;0.05</t>
        </is>
      </c>
      <c r="I16" s="22" t="inlineStr">
        <is>
          <t>high</t>
        </is>
      </c>
      <c r="J16" s="23" t="inlineStr">
        <is>
          <t>verified</t>
        </is>
      </c>
      <c r="K16" s="23" t="inlineStr">
        <is>
          <t>keep</t>
        </is>
      </c>
      <c r="L16" s="24" t="inlineStr">
        <is>
          <t>Genella showed a significant decrease in DM_HD compared with other groups</t>
        </is>
      </c>
      <c r="M16" s="20" t="inlineStr"/>
      <c r="N16" s="21" t="inlineStr"/>
      <c r="O16" s="21" t="inlineStr"/>
    </row>
    <row r="17" ht="20" customHeight="1">
      <c r="A17" s="16" t="inlineStr">
        <is>
          <t>Veillonella</t>
        </is>
      </c>
      <c r="B17" s="16" t="inlineStr">
        <is>
          <t>bacteria</t>
        </is>
      </c>
      <c r="C17" s="16" t="inlineStr">
        <is>
          <t>genus</t>
        </is>
      </c>
      <c r="D17" s="16" t="inlineStr">
        <is>
          <t>chronic kidney disease</t>
        </is>
      </c>
      <c r="E17" s="17" t="inlineStr">
        <is>
          <t>increased</t>
        </is>
      </c>
      <c r="F17" s="16" t="inlineStr">
        <is>
          <t>disease_vs_control</t>
        </is>
      </c>
      <c r="G17" s="16" t="inlineStr">
        <is>
          <t>oral</t>
        </is>
      </c>
      <c r="H17" s="16" t="inlineStr">
        <is>
          <t>&lt;0.05</t>
        </is>
      </c>
      <c r="I17" s="16" t="inlineStr">
        <is>
          <t>high</t>
        </is>
      </c>
      <c r="J17" s="18" t="inlineStr">
        <is>
          <t>verified</t>
        </is>
      </c>
      <c r="K17" s="18" t="inlineStr">
        <is>
          <t>keep</t>
        </is>
      </c>
      <c r="L17" s="19" t="inlineStr">
        <is>
          <t>Veillonella showed a significant increase in DM_HD compared with HC</t>
        </is>
      </c>
      <c r="M17" s="20" t="inlineStr"/>
      <c r="N17" s="21" t="inlineStr"/>
      <c r="O17" s="21" t="inlineStr"/>
    </row>
    <row r="18" ht="20" customHeight="1">
      <c r="A18" s="22" t="inlineStr">
        <is>
          <t>Limosilactobacillus</t>
        </is>
      </c>
      <c r="B18" s="22" t="inlineStr">
        <is>
          <t>bacteria</t>
        </is>
      </c>
      <c r="C18" s="22" t="inlineStr">
        <is>
          <t>genus</t>
        </is>
      </c>
      <c r="D18" s="22" t="inlineStr">
        <is>
          <t>chronic kidney disease</t>
        </is>
      </c>
      <c r="E18" s="17" t="inlineStr">
        <is>
          <t>increased</t>
        </is>
      </c>
      <c r="F18" s="22" t="inlineStr">
        <is>
          <t>disease_vs_control</t>
        </is>
      </c>
      <c r="G18" s="22" t="inlineStr">
        <is>
          <t>oral</t>
        </is>
      </c>
      <c r="H18" s="22" t="inlineStr"/>
      <c r="I18" s="22" t="inlineStr">
        <is>
          <t>medium</t>
        </is>
      </c>
      <c r="J18" s="23" t="inlineStr">
        <is>
          <t>verified</t>
        </is>
      </c>
      <c r="K18" s="23" t="inlineStr">
        <is>
          <t>keep</t>
        </is>
      </c>
      <c r="L18" s="24" t="inlineStr">
        <is>
          <t>Four genera including Veillonella, Lactobacillus, Limosilactobacillus and Ligilactobacillus were differentially abundant in DM_HD tongue coating</t>
        </is>
      </c>
      <c r="M18" s="20" t="inlineStr"/>
      <c r="N18" s="21" t="inlineStr"/>
      <c r="O18" s="21" t="inlineStr"/>
    </row>
    <row r="19" ht="20" customHeight="1">
      <c r="A19" s="16" t="inlineStr">
        <is>
          <t>Veillonella dispar</t>
        </is>
      </c>
      <c r="B19" s="16" t="inlineStr">
        <is>
          <t>bacteria</t>
        </is>
      </c>
      <c r="C19" s="16" t="inlineStr">
        <is>
          <t>species</t>
        </is>
      </c>
      <c r="D19" s="16" t="inlineStr">
        <is>
          <t>chronic kidney disease</t>
        </is>
      </c>
      <c r="E19" s="17" t="inlineStr">
        <is>
          <t>increased</t>
        </is>
      </c>
      <c r="F19" s="16" t="inlineStr">
        <is>
          <t>disease_vs_control</t>
        </is>
      </c>
      <c r="G19" s="16" t="inlineStr">
        <is>
          <t>oral</t>
        </is>
      </c>
      <c r="H19" s="16" t="inlineStr"/>
      <c r="I19" s="16" t="inlineStr">
        <is>
          <t>medium</t>
        </is>
      </c>
      <c r="J19" s="18" t="inlineStr">
        <is>
          <t>verified</t>
        </is>
      </c>
      <c r="K19" s="18" t="inlineStr">
        <is>
          <t>keep</t>
        </is>
      </c>
      <c r="L19" s="19" t="inlineStr">
        <is>
          <t>Veillonella dispar and Streptococcus vestibularis in DM_HD, Neisseria mucosa and Streptococcus sanguinis in nonDM_HD, Neisseria subflava and Haemophilus parainfluenzae in HC exhibit higher LDA scores</t>
        </is>
      </c>
      <c r="M19" s="20" t="inlineStr"/>
      <c r="N19" s="21" t="inlineStr"/>
      <c r="O19" s="21" t="inlineStr"/>
    </row>
    <row r="20" ht="20" customHeight="1">
      <c r="A20" s="22" t="inlineStr">
        <is>
          <t>Streptococcus vestibularis</t>
        </is>
      </c>
      <c r="B20" s="22" t="inlineStr">
        <is>
          <t>bacteria</t>
        </is>
      </c>
      <c r="C20" s="22" t="inlineStr">
        <is>
          <t>species</t>
        </is>
      </c>
      <c r="D20" s="22" t="inlineStr">
        <is>
          <t>chronic kidney disease</t>
        </is>
      </c>
      <c r="E20" s="17" t="inlineStr">
        <is>
          <t>increased</t>
        </is>
      </c>
      <c r="F20" s="22" t="inlineStr">
        <is>
          <t>disease_vs_control</t>
        </is>
      </c>
      <c r="G20" s="22" t="inlineStr">
        <is>
          <t>oral</t>
        </is>
      </c>
      <c r="H20" s="22" t="inlineStr"/>
      <c r="I20" s="22" t="inlineStr">
        <is>
          <t>medium</t>
        </is>
      </c>
      <c r="J20" s="23" t="inlineStr">
        <is>
          <t>verified</t>
        </is>
      </c>
      <c r="K20" s="23" t="inlineStr">
        <is>
          <t>keep</t>
        </is>
      </c>
      <c r="L20" s="24" t="inlineStr">
        <is>
          <t>Veillonella dispar and Streptococcus vestibularis in DM_HD, Neisseria mucosa and Streptococcus sanguinis in nonDM_HD, Neisseria subflava and Haemophilus parainfluenzae in HC exhibit higher LDA scores</t>
        </is>
      </c>
      <c r="M20" s="20" t="inlineStr"/>
      <c r="N20" s="21" t="inlineStr"/>
      <c r="O20" s="21" t="inlineStr"/>
    </row>
    <row r="21" ht="20" customHeight="1">
      <c r="A21" s="16" t="inlineStr">
        <is>
          <t>Neisseria mucosa</t>
        </is>
      </c>
      <c r="B21" s="16" t="inlineStr">
        <is>
          <t>bacteria</t>
        </is>
      </c>
      <c r="C21" s="16" t="inlineStr">
        <is>
          <t>species</t>
        </is>
      </c>
      <c r="D21" s="16" t="inlineStr">
        <is>
          <t>chronic kidney disease</t>
        </is>
      </c>
      <c r="E21" s="17" t="inlineStr">
        <is>
          <t>increased</t>
        </is>
      </c>
      <c r="F21" s="16" t="inlineStr">
        <is>
          <t>disease_vs_control</t>
        </is>
      </c>
      <c r="G21" s="16" t="inlineStr">
        <is>
          <t>oral</t>
        </is>
      </c>
      <c r="H21" s="16" t="inlineStr"/>
      <c r="I21" s="16" t="inlineStr">
        <is>
          <t>medium</t>
        </is>
      </c>
      <c r="J21" s="18" t="inlineStr">
        <is>
          <t>verified</t>
        </is>
      </c>
      <c r="K21" s="18" t="inlineStr">
        <is>
          <t>keep</t>
        </is>
      </c>
      <c r="L21" s="19" t="inlineStr">
        <is>
          <t>Veillonella dispar and Streptococcus vestibularis in DM_HD, Neisseria mucosa and Streptococcus sanguinis in nonDM_HD, Neisseria subflava and Haemophilus parainfluenzae in HC exhibit higher LDA scores</t>
        </is>
      </c>
      <c r="M21" s="20" t="inlineStr"/>
      <c r="N21" s="21" t="inlineStr"/>
      <c r="O21" s="21" t="inlineStr"/>
    </row>
    <row r="22" ht="20" customHeight="1">
      <c r="A22" s="22" t="inlineStr">
        <is>
          <t>Streptococcus sanguinis</t>
        </is>
      </c>
      <c r="B22" s="22" t="inlineStr">
        <is>
          <t>bacteria</t>
        </is>
      </c>
      <c r="C22" s="22" t="inlineStr">
        <is>
          <t>species</t>
        </is>
      </c>
      <c r="D22" s="22" t="inlineStr">
        <is>
          <t>chronic kidney disease</t>
        </is>
      </c>
      <c r="E22" s="17" t="inlineStr">
        <is>
          <t>increased</t>
        </is>
      </c>
      <c r="F22" s="22" t="inlineStr">
        <is>
          <t>disease_vs_control</t>
        </is>
      </c>
      <c r="G22" s="22" t="inlineStr">
        <is>
          <t>oral</t>
        </is>
      </c>
      <c r="H22" s="22" t="inlineStr"/>
      <c r="I22" s="22" t="inlineStr">
        <is>
          <t>medium</t>
        </is>
      </c>
      <c r="J22" s="23" t="inlineStr">
        <is>
          <t>verified</t>
        </is>
      </c>
      <c r="K22" s="23" t="inlineStr">
        <is>
          <t>keep</t>
        </is>
      </c>
      <c r="L22" s="24" t="inlineStr">
        <is>
          <t>Veillonella dispar and Streptococcus vestibularis in DM_HD, Neisseria mucosa and Streptococcus sanguinis in nonDM_HD, Neisseria subflava and Haemophilus parainfluenzae in HC exhibit higher LDA scores</t>
        </is>
      </c>
      <c r="M22" s="20" t="inlineStr"/>
      <c r="N22" s="21" t="inlineStr"/>
      <c r="O22" s="21" t="inlineStr"/>
    </row>
    <row r="23" ht="20" customHeight="1">
      <c r="A23" s="16" t="inlineStr">
        <is>
          <t>Neisseria subflava</t>
        </is>
      </c>
      <c r="B23" s="16" t="inlineStr">
        <is>
          <t>bacteria</t>
        </is>
      </c>
      <c r="C23" s="16" t="inlineStr">
        <is>
          <t>species</t>
        </is>
      </c>
      <c r="D23" s="16" t="inlineStr">
        <is>
          <t>chronic kidney disease</t>
        </is>
      </c>
      <c r="E23" s="27" t="inlineStr">
        <is>
          <t>decreased</t>
        </is>
      </c>
      <c r="F23" s="16" t="inlineStr">
        <is>
          <t>disease_vs_control</t>
        </is>
      </c>
      <c r="G23" s="16" t="inlineStr">
        <is>
          <t>oral</t>
        </is>
      </c>
      <c r="H23" s="16" t="inlineStr"/>
      <c r="I23" s="16" t="inlineStr">
        <is>
          <t>medium</t>
        </is>
      </c>
      <c r="J23" s="18" t="inlineStr">
        <is>
          <t>verified</t>
        </is>
      </c>
      <c r="K23" s="18" t="inlineStr">
        <is>
          <t>keep</t>
        </is>
      </c>
      <c r="L23" s="19" t="inlineStr">
        <is>
          <t>Veillonella dispar and Streptococcus vestibularis in DM_HD, Neisseria mucosa and Streptococcus sanguinis in nonDM_HD, Neisseria subflava and Haemophilus parainfluenzae in HC exhibit higher LDA scores</t>
        </is>
      </c>
      <c r="M23" s="20" t="inlineStr"/>
      <c r="N23" s="21" t="inlineStr"/>
      <c r="O23" s="21" t="inlineStr"/>
    </row>
    <row r="24" ht="20" customHeight="1">
      <c r="A24" s="22" t="inlineStr">
        <is>
          <t>Haemophilus parainfluenzae</t>
        </is>
      </c>
      <c r="B24" s="22" t="inlineStr">
        <is>
          <t>bacteria</t>
        </is>
      </c>
      <c r="C24" s="22" t="inlineStr">
        <is>
          <t>species</t>
        </is>
      </c>
      <c r="D24" s="22" t="inlineStr">
        <is>
          <t>chronic kidney disease</t>
        </is>
      </c>
      <c r="E24" s="27" t="inlineStr">
        <is>
          <t>decreased</t>
        </is>
      </c>
      <c r="F24" s="22" t="inlineStr">
        <is>
          <t>disease_vs_control</t>
        </is>
      </c>
      <c r="G24" s="22" t="inlineStr">
        <is>
          <t>oral</t>
        </is>
      </c>
      <c r="H24" s="22" t="inlineStr"/>
      <c r="I24" s="22" t="inlineStr">
        <is>
          <t>medium</t>
        </is>
      </c>
      <c r="J24" s="23" t="inlineStr">
        <is>
          <t>verified</t>
        </is>
      </c>
      <c r="K24" s="23" t="inlineStr">
        <is>
          <t>keep</t>
        </is>
      </c>
      <c r="L24" s="24" t="inlineStr">
        <is>
          <t>Veillonella dispar and Streptococcus vestibularis in DM_HD, Neisseria mucosa and Streptococcus sanguinis in nonDM_HD, Neisseria subflava and Haemophilus parainfluenzae in HC exhibit higher LDA scores</t>
        </is>
      </c>
      <c r="M24" s="20" t="inlineStr"/>
      <c r="N24" s="21" t="inlineStr"/>
      <c r="O24" s="21" t="inlineStr"/>
    </row>
    <row r="25" ht="20" customHeight="1">
      <c r="A25" s="16" t="inlineStr">
        <is>
          <t>Actinobacillus</t>
        </is>
      </c>
      <c r="B25" s="16" t="inlineStr">
        <is>
          <t>bacteria</t>
        </is>
      </c>
      <c r="C25" s="16" t="inlineStr">
        <is>
          <t>genus</t>
        </is>
      </c>
      <c r="D25" s="16" t="inlineStr">
        <is>
          <t>chronic kidney disease</t>
        </is>
      </c>
      <c r="E25" s="17" t="inlineStr">
        <is>
          <t>increased</t>
        </is>
      </c>
      <c r="F25" s="16" t="inlineStr">
        <is>
          <t>disease_vs_control</t>
        </is>
      </c>
      <c r="G25" s="16" t="inlineStr">
        <is>
          <t>oral</t>
        </is>
      </c>
      <c r="H25" s="16" t="inlineStr"/>
      <c r="I25" s="16" t="inlineStr">
        <is>
          <t>low</t>
        </is>
      </c>
      <c r="J25" s="18" t="inlineStr">
        <is>
          <t>verified</t>
        </is>
      </c>
      <c r="K25" s="18" t="inlineStr">
        <is>
          <t>keep_flagged</t>
        </is>
      </c>
      <c r="L25" s="19" t="inlineStr">
        <is>
          <t>Streptococcus, Actinobacillus, Abiotrophia can be considered alternative biomarkers for nonDM_HD</t>
        </is>
      </c>
      <c r="M25" s="20" t="inlineStr"/>
      <c r="N25" s="21" t="inlineStr"/>
      <c r="O25" s="21" t="inlineStr"/>
    </row>
    <row r="26" ht="20" customHeight="1">
      <c r="A26" s="22" t="inlineStr">
        <is>
          <t>Eubacterium nodatum</t>
        </is>
      </c>
      <c r="B26" s="22" t="inlineStr">
        <is>
          <t>bacteria</t>
        </is>
      </c>
      <c r="C26" s="22" t="inlineStr">
        <is>
          <t>species</t>
        </is>
      </c>
      <c r="D26" s="22" t="inlineStr">
        <is>
          <t>chronic kidney disease</t>
        </is>
      </c>
      <c r="E26" s="27" t="inlineStr">
        <is>
          <t>decreased</t>
        </is>
      </c>
      <c r="F26" s="22" t="inlineStr">
        <is>
          <t>disease_vs_control</t>
        </is>
      </c>
      <c r="G26" s="22" t="inlineStr">
        <is>
          <t>oral</t>
        </is>
      </c>
      <c r="H26" s="22" t="inlineStr"/>
      <c r="I26" s="22" t="inlineStr">
        <is>
          <t>low</t>
        </is>
      </c>
      <c r="J26" s="23" t="inlineStr">
        <is>
          <t>verified</t>
        </is>
      </c>
      <c r="K26" s="23" t="inlineStr">
        <is>
          <t>keep_flagged</t>
        </is>
      </c>
      <c r="L26" s="24" t="inlineStr">
        <is>
          <t>Furthermore, the enriched Haemophilus, Actinomyces, Eubacterium nodatum and Peptostreptococcus were prominent features of the tongue coating microbiota in HC</t>
        </is>
      </c>
      <c r="M26" s="20" t="inlineStr"/>
      <c r="N26" s="21" t="inlineStr"/>
      <c r="O26"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26" showDropDown="0" showInputMessage="0" showErrorMessage="0" allowBlank="1" type="list">
      <formula1>"approved,rejected,modified"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13"/>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193 — Characterization of the nasal and oral microbiota of detection dogs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c r="A3" s="28" t="inlineStr">
        <is>
          <t>No relationships extracted — please review paper manually and add below if needed.</t>
        </is>
      </c>
      <c r="B3" s="29" t="n"/>
      <c r="C3" s="29" t="n"/>
      <c r="D3" s="29" t="n"/>
      <c r="E3" s="29" t="n"/>
      <c r="F3" s="29" t="n"/>
      <c r="G3" s="29" t="n"/>
      <c r="H3" s="29" t="n"/>
      <c r="I3" s="29" t="n"/>
      <c r="J3" s="29" t="n"/>
      <c r="K3" s="29" t="n"/>
      <c r="L3" s="29" t="n"/>
      <c r="M3" s="29" t="n"/>
      <c r="N3" s="29" t="n"/>
      <c r="O3" s="29" t="n"/>
    </row>
    <row r="4" ht="20" customHeight="1">
      <c r="A4" s="30" t="inlineStr"/>
      <c r="B4" s="30" t="inlineStr"/>
      <c r="C4" s="30" t="inlineStr"/>
      <c r="D4" s="30" t="inlineStr"/>
      <c r="E4" s="30" t="inlineStr"/>
      <c r="F4" s="30" t="inlineStr"/>
      <c r="G4" s="30" t="inlineStr"/>
      <c r="H4" s="30" t="inlineStr"/>
      <c r="I4" s="30" t="inlineStr"/>
      <c r="J4" s="31" t="inlineStr"/>
      <c r="K4" s="31" t="inlineStr"/>
      <c r="L4" s="31" t="inlineStr"/>
      <c r="M4" s="32" t="inlineStr"/>
      <c r="N4" s="32" t="inlineStr"/>
      <c r="O4" s="32" t="inlineStr"/>
    </row>
    <row r="5" ht="20" customHeight="1">
      <c r="A5" s="30" t="inlineStr"/>
      <c r="B5" s="30" t="inlineStr"/>
      <c r="C5" s="30" t="inlineStr"/>
      <c r="D5" s="30" t="inlineStr"/>
      <c r="E5" s="30" t="inlineStr"/>
      <c r="F5" s="30" t="inlineStr"/>
      <c r="G5" s="30" t="inlineStr"/>
      <c r="H5" s="30" t="inlineStr"/>
      <c r="I5" s="30" t="inlineStr"/>
      <c r="J5" s="31" t="inlineStr"/>
      <c r="K5" s="31" t="inlineStr"/>
      <c r="L5" s="31" t="inlineStr"/>
      <c r="M5" s="32" t="inlineStr"/>
      <c r="N5" s="32" t="inlineStr"/>
      <c r="O5" s="32" t="inlineStr"/>
    </row>
    <row r="6" ht="20" customHeight="1">
      <c r="A6" s="30" t="inlineStr"/>
      <c r="B6" s="30" t="inlineStr"/>
      <c r="C6" s="30" t="inlineStr"/>
      <c r="D6" s="30" t="inlineStr"/>
      <c r="E6" s="30" t="inlineStr"/>
      <c r="F6" s="30" t="inlineStr"/>
      <c r="G6" s="30" t="inlineStr"/>
      <c r="H6" s="30" t="inlineStr"/>
      <c r="I6" s="30" t="inlineStr"/>
      <c r="J6" s="31" t="inlineStr"/>
      <c r="K6" s="31" t="inlineStr"/>
      <c r="L6" s="31" t="inlineStr"/>
      <c r="M6" s="32" t="inlineStr"/>
      <c r="N6" s="32" t="inlineStr"/>
      <c r="O6" s="32" t="inlineStr"/>
    </row>
    <row r="7" ht="20" customHeight="1">
      <c r="A7" s="30" t="inlineStr"/>
      <c r="B7" s="30" t="inlineStr"/>
      <c r="C7" s="30" t="inlineStr"/>
      <c r="D7" s="30" t="inlineStr"/>
      <c r="E7" s="30" t="inlineStr"/>
      <c r="F7" s="30" t="inlineStr"/>
      <c r="G7" s="30" t="inlineStr"/>
      <c r="H7" s="30" t="inlineStr"/>
      <c r="I7" s="30" t="inlineStr"/>
      <c r="J7" s="31" t="inlineStr"/>
      <c r="K7" s="31" t="inlineStr"/>
      <c r="L7" s="31" t="inlineStr"/>
      <c r="M7" s="32" t="inlineStr"/>
      <c r="N7" s="32" t="inlineStr"/>
      <c r="O7" s="32" t="inlineStr"/>
    </row>
    <row r="8" ht="20" customHeight="1">
      <c r="A8" s="30" t="inlineStr"/>
      <c r="B8" s="30" t="inlineStr"/>
      <c r="C8" s="30" t="inlineStr"/>
      <c r="D8" s="30" t="inlineStr"/>
      <c r="E8" s="30" t="inlineStr"/>
      <c r="F8" s="30" t="inlineStr"/>
      <c r="G8" s="30" t="inlineStr"/>
      <c r="H8" s="30" t="inlineStr"/>
      <c r="I8" s="30" t="inlineStr"/>
      <c r="J8" s="31" t="inlineStr"/>
      <c r="K8" s="31" t="inlineStr"/>
      <c r="L8" s="31" t="inlineStr"/>
      <c r="M8" s="32" t="inlineStr"/>
      <c r="N8" s="32" t="inlineStr"/>
      <c r="O8" s="32" t="inlineStr"/>
    </row>
    <row r="9" ht="20" customHeight="1">
      <c r="A9" s="30" t="inlineStr"/>
      <c r="B9" s="30" t="inlineStr"/>
      <c r="C9" s="30" t="inlineStr"/>
      <c r="D9" s="30" t="inlineStr"/>
      <c r="E9" s="30" t="inlineStr"/>
      <c r="F9" s="30" t="inlineStr"/>
      <c r="G9" s="30" t="inlineStr"/>
      <c r="H9" s="30" t="inlineStr"/>
      <c r="I9" s="30" t="inlineStr"/>
      <c r="J9" s="31" t="inlineStr"/>
      <c r="K9" s="31" t="inlineStr"/>
      <c r="L9" s="31" t="inlineStr"/>
      <c r="M9" s="32" t="inlineStr"/>
      <c r="N9" s="32" t="inlineStr"/>
      <c r="O9" s="32" t="inlineStr"/>
    </row>
    <row r="10" ht="20" customHeight="1">
      <c r="A10" s="30" t="inlineStr"/>
      <c r="B10" s="30" t="inlineStr"/>
      <c r="C10" s="30" t="inlineStr"/>
      <c r="D10" s="30" t="inlineStr"/>
      <c r="E10" s="30" t="inlineStr"/>
      <c r="F10" s="30" t="inlineStr"/>
      <c r="G10" s="30" t="inlineStr"/>
      <c r="H10" s="30" t="inlineStr"/>
      <c r="I10" s="30" t="inlineStr"/>
      <c r="J10" s="31" t="inlineStr"/>
      <c r="K10" s="31" t="inlineStr"/>
      <c r="L10" s="31" t="inlineStr"/>
      <c r="M10" s="32" t="inlineStr"/>
      <c r="N10" s="32" t="inlineStr"/>
      <c r="O10" s="32" t="inlineStr"/>
    </row>
    <row r="11" ht="20" customHeight="1">
      <c r="A11" s="30" t="inlineStr"/>
      <c r="B11" s="30" t="inlineStr"/>
      <c r="C11" s="30" t="inlineStr"/>
      <c r="D11" s="30" t="inlineStr"/>
      <c r="E11" s="30" t="inlineStr"/>
      <c r="F11" s="30" t="inlineStr"/>
      <c r="G11" s="30" t="inlineStr"/>
      <c r="H11" s="30" t="inlineStr"/>
      <c r="I11" s="30" t="inlineStr"/>
      <c r="J11" s="31" t="inlineStr"/>
      <c r="K11" s="31" t="inlineStr"/>
      <c r="L11" s="31" t="inlineStr"/>
      <c r="M11" s="32" t="inlineStr"/>
      <c r="N11" s="32" t="inlineStr"/>
      <c r="O11" s="32" t="inlineStr"/>
    </row>
    <row r="12" ht="20" customHeight="1">
      <c r="A12" s="30" t="inlineStr"/>
      <c r="B12" s="30" t="inlineStr"/>
      <c r="C12" s="30" t="inlineStr"/>
      <c r="D12" s="30" t="inlineStr"/>
      <c r="E12" s="30" t="inlineStr"/>
      <c r="F12" s="30" t="inlineStr"/>
      <c r="G12" s="30" t="inlineStr"/>
      <c r="H12" s="30" t="inlineStr"/>
      <c r="I12" s="30" t="inlineStr"/>
      <c r="J12" s="31" t="inlineStr"/>
      <c r="K12" s="31" t="inlineStr"/>
      <c r="L12" s="31" t="inlineStr"/>
      <c r="M12" s="32" t="inlineStr"/>
      <c r="N12" s="32" t="inlineStr"/>
      <c r="O12" s="32" t="inlineStr"/>
    </row>
    <row r="13" ht="20" customHeight="1">
      <c r="A13" s="30" t="inlineStr"/>
      <c r="B13" s="30" t="inlineStr"/>
      <c r="C13" s="30" t="inlineStr"/>
      <c r="D13" s="30" t="inlineStr"/>
      <c r="E13" s="30" t="inlineStr"/>
      <c r="F13" s="30" t="inlineStr"/>
      <c r="G13" s="30" t="inlineStr"/>
      <c r="H13" s="30" t="inlineStr"/>
      <c r="I13" s="30" t="inlineStr"/>
      <c r="J13" s="31" t="inlineStr"/>
      <c r="K13" s="31" t="inlineStr"/>
      <c r="L13" s="31" t="inlineStr"/>
      <c r="M13" s="32" t="inlineStr"/>
      <c r="N13" s="32" t="inlineStr"/>
      <c r="O13" s="32"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1:O1"/>
    <mergeCell ref="A3:O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5"/>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1983 — Brief antibiotic use drives human gut bacteria towards low-cost resistance</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Akkermansiaceae</t>
        </is>
      </c>
      <c r="B3" s="16" t="inlineStr">
        <is>
          <t>bacteria</t>
        </is>
      </c>
      <c r="C3" s="16" t="inlineStr">
        <is>
          <t>family</t>
        </is>
      </c>
      <c r="D3" s="16" t="inlineStr">
        <is>
          <t>antibiotic resistance evolution in gut commensals (ciprofloxacin treatment)</t>
        </is>
      </c>
      <c r="E3" s="17" t="inlineStr">
        <is>
          <t>increased</t>
        </is>
      </c>
      <c r="F3" s="16" t="inlineStr">
        <is>
          <t>treatment_effect</t>
        </is>
      </c>
      <c r="G3" s="16" t="inlineStr">
        <is>
          <t>gut</t>
        </is>
      </c>
      <c r="H3" s="16" t="inlineStr"/>
      <c r="I3" s="16" t="inlineStr">
        <is>
          <t>medium</t>
        </is>
      </c>
      <c r="J3" s="18" t="inlineStr">
        <is>
          <t>verified</t>
        </is>
      </c>
      <c r="K3" s="18" t="inlineStr">
        <is>
          <t>keep</t>
        </is>
      </c>
      <c r="L3" s="19" t="inlineStr">
        <is>
          <t>most Akkermansiaceae populations are blooming while most Enterobacteriaceae populations are dropping during the disturbance</t>
        </is>
      </c>
      <c r="M3" s="20" t="inlineStr"/>
      <c r="N3" s="21" t="inlineStr"/>
      <c r="O3" s="21" t="inlineStr"/>
    </row>
    <row r="4" ht="20" customHeight="1">
      <c r="A4" s="22" t="inlineStr">
        <is>
          <t>Enterobacteriaceae</t>
        </is>
      </c>
      <c r="B4" s="22" t="inlineStr">
        <is>
          <t>bacteria</t>
        </is>
      </c>
      <c r="C4" s="22" t="inlineStr">
        <is>
          <t>family</t>
        </is>
      </c>
      <c r="D4" s="22" t="inlineStr">
        <is>
          <t>antibiotic resistance evolution in gut commensals (ciprofloxacin treatment)</t>
        </is>
      </c>
      <c r="E4" s="27" t="inlineStr">
        <is>
          <t>decreased</t>
        </is>
      </c>
      <c r="F4" s="22" t="inlineStr">
        <is>
          <t>treatment_effect</t>
        </is>
      </c>
      <c r="G4" s="22" t="inlineStr">
        <is>
          <t>gut</t>
        </is>
      </c>
      <c r="H4" s="22" t="inlineStr"/>
      <c r="I4" s="22" t="inlineStr">
        <is>
          <t>medium</t>
        </is>
      </c>
      <c r="J4" s="23" t="inlineStr">
        <is>
          <t>verified</t>
        </is>
      </c>
      <c r="K4" s="23" t="inlineStr">
        <is>
          <t>keep</t>
        </is>
      </c>
      <c r="L4" s="24" t="inlineStr">
        <is>
          <t>most Akkermansiaceae populations are blooming while most Enterobacteriaceae populations are dropping during the disturbance</t>
        </is>
      </c>
      <c r="M4" s="20" t="inlineStr"/>
      <c r="N4" s="21" t="inlineStr"/>
      <c r="O4" s="21" t="inlineStr"/>
    </row>
    <row r="5" ht="20" customHeight="1">
      <c r="A5" s="16" t="inlineStr">
        <is>
          <t>Phocaeicola vulgatus</t>
        </is>
      </c>
      <c r="B5" s="16" t="inlineStr">
        <is>
          <t>bacteria</t>
        </is>
      </c>
      <c r="C5" s="16" t="inlineStr">
        <is>
          <t>species</t>
        </is>
      </c>
      <c r="D5" s="16" t="inlineStr">
        <is>
          <t>antibiotic resistance evolution in gut commensals (ciprofloxacin treatment)</t>
        </is>
      </c>
      <c r="E5" s="17" t="inlineStr">
        <is>
          <t>increased</t>
        </is>
      </c>
      <c r="F5" s="16" t="inlineStr">
        <is>
          <t>treatment_effect</t>
        </is>
      </c>
      <c r="G5" s="16" t="inlineStr">
        <is>
          <t>gut</t>
        </is>
      </c>
      <c r="H5" s="16" t="inlineStr"/>
      <c r="I5" s="16" t="inlineStr">
        <is>
          <t>low</t>
        </is>
      </c>
      <c r="J5" s="18" t="inlineStr">
        <is>
          <t>verified</t>
        </is>
      </c>
      <c r="K5" s="18" t="inlineStr">
        <is>
          <t>keep_flagged</t>
        </is>
      </c>
      <c r="L5" s="19" t="inlineStr">
        <is>
          <t>See for example Phocaeicola vulgatus, where resistant populations (with F) increase during the exposure, while susceptible populations (with S) keep low</t>
        </is>
      </c>
      <c r="M5" s="20" t="inlineStr"/>
      <c r="N5" s="21" t="inlineStr"/>
      <c r="O5"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5" showDropDown="0" showInputMessage="0" showErrorMessage="0" allowBlank="1" type="list">
      <formula1>"approved,rejected,modified"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21"/>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199 — Distinct nasal airway bacterial microbiotas differentially relate to exacerbation in pediatric patients with asthma</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Moraxella species</t>
        </is>
      </c>
      <c r="B3" s="16" t="inlineStr">
        <is>
          <t>bacteria</t>
        </is>
      </c>
      <c r="C3" s="16" t="inlineStr">
        <is>
          <t>genus</t>
        </is>
      </c>
      <c r="D3" s="16" t="inlineStr">
        <is>
          <t>asthma</t>
        </is>
      </c>
      <c r="E3" s="17" t="inlineStr">
        <is>
          <t>increased</t>
        </is>
      </c>
      <c r="F3" s="16" t="inlineStr">
        <is>
          <t>disease_vs_control</t>
        </is>
      </c>
      <c r="G3" s="16" t="inlineStr">
        <is>
          <t>nasal</t>
        </is>
      </c>
      <c r="H3" s="16" t="inlineStr">
        <is>
          <t>q=0.04</t>
        </is>
      </c>
      <c r="I3" s="16" t="inlineStr">
        <is>
          <t>high</t>
        </is>
      </c>
      <c r="J3" s="18" t="inlineStr">
        <is>
          <t>verified</t>
        </is>
      </c>
      <c r="K3" s="18" t="inlineStr">
        <is>
          <t>keep</t>
        </is>
      </c>
      <c r="L3" s="19" t="inlineStr">
        <is>
          <t>Children who experienced 1 or more exacerbations in the outcome period were more likely to possess Moraxella species–dominated microbiotas (relative risk [RR] = 1. 66; q = 0. 04)</t>
        </is>
      </c>
      <c r="M3" s="20" t="inlineStr"/>
      <c r="N3" s="21" t="inlineStr"/>
      <c r="O3" s="21" t="inlineStr"/>
    </row>
    <row r="4" ht="20" customHeight="1">
      <c r="A4" s="22" t="inlineStr">
        <is>
          <t>Moraxella species</t>
        </is>
      </c>
      <c r="B4" s="22" t="inlineStr">
        <is>
          <t>bacteria</t>
        </is>
      </c>
      <c r="C4" s="22" t="inlineStr">
        <is>
          <t>genus</t>
        </is>
      </c>
      <c r="D4" s="22" t="inlineStr">
        <is>
          <t>asthma</t>
        </is>
      </c>
      <c r="E4" s="17" t="inlineStr">
        <is>
          <t>increased</t>
        </is>
      </c>
      <c r="F4" s="22" t="inlineStr">
        <is>
          <t>disease_vs_control</t>
        </is>
      </c>
      <c r="G4" s="22" t="inlineStr">
        <is>
          <t>nasal</t>
        </is>
      </c>
      <c r="H4" s="22" t="inlineStr">
        <is>
          <t>q=0.03</t>
        </is>
      </c>
      <c r="I4" s="22" t="inlineStr">
        <is>
          <t>high</t>
        </is>
      </c>
      <c r="J4" s="23" t="inlineStr">
        <is>
          <t>verified</t>
        </is>
      </c>
      <c r="K4" s="23" t="inlineStr">
        <is>
          <t>keep</t>
        </is>
      </c>
      <c r="L4" s="24" t="inlineStr">
        <is>
          <t>ECP concentrations in nasal secretions (a marker of activated eosinophils) measured at randomization were significantly greater in Moraxella species–dominated samples collected closest to the ECP measurement (Table I and see Fig E4)</t>
        </is>
      </c>
      <c r="M4" s="20" t="inlineStr"/>
      <c r="N4" s="21" t="inlineStr"/>
      <c r="O4" s="21" t="inlineStr"/>
    </row>
    <row r="5" ht="20" customHeight="1">
      <c r="A5" s="16" t="inlineStr">
        <is>
          <t>Haemophilus species</t>
        </is>
      </c>
      <c r="B5" s="16" t="inlineStr">
        <is>
          <t>bacteria</t>
        </is>
      </c>
      <c r="C5" s="16" t="inlineStr">
        <is>
          <t>genus</t>
        </is>
      </c>
      <c r="D5" s="16" t="inlineStr">
        <is>
          <t>asthma</t>
        </is>
      </c>
      <c r="E5" s="27" t="inlineStr">
        <is>
          <t>decreased</t>
        </is>
      </c>
      <c r="F5" s="16" t="inlineStr">
        <is>
          <t>disease_vs_control</t>
        </is>
      </c>
      <c r="G5" s="16" t="inlineStr">
        <is>
          <t>nasal</t>
        </is>
      </c>
      <c r="H5" s="16" t="inlineStr">
        <is>
          <t>q=0.04</t>
        </is>
      </c>
      <c r="I5" s="16" t="inlineStr">
        <is>
          <t>high</t>
        </is>
      </c>
      <c r="J5" s="18" t="inlineStr">
        <is>
          <t>verified</t>
        </is>
      </c>
      <c r="K5" s="18" t="inlineStr">
        <is>
          <t>keep</t>
        </is>
      </c>
      <c r="L5" s="19" t="inlineStr">
        <is>
          <t>children who experienced 1 or more exacerbations were less likely to have nasal airway microbiotas dominated by Haemophilus species (RR = 0. 41, q = 0. 04), a finding that remained consistent after adjustment for age (adjusted RR = 0. 39, q = 0. 07</t>
        </is>
      </c>
      <c r="M5" s="20" t="inlineStr"/>
      <c r="N5" s="21" t="inlineStr"/>
      <c r="O5" s="21" t="inlineStr"/>
    </row>
    <row r="6" ht="20" customHeight="1">
      <c r="A6" s="22" t="inlineStr">
        <is>
          <t>Alloiococcus species</t>
        </is>
      </c>
      <c r="B6" s="22" t="inlineStr">
        <is>
          <t>bacteria</t>
        </is>
      </c>
      <c r="C6" s="22" t="inlineStr">
        <is>
          <t>genus</t>
        </is>
      </c>
      <c r="D6" s="22" t="inlineStr">
        <is>
          <t>asthma</t>
        </is>
      </c>
      <c r="E6" s="27" t="inlineStr">
        <is>
          <t>decreased</t>
        </is>
      </c>
      <c r="F6" s="22" t="inlineStr">
        <is>
          <t>disease_vs_control</t>
        </is>
      </c>
      <c r="G6" s="22" t="inlineStr">
        <is>
          <t>nasal</t>
        </is>
      </c>
      <c r="H6" s="22" t="inlineStr">
        <is>
          <t>q=0.14</t>
        </is>
      </c>
      <c r="I6" s="22" t="inlineStr">
        <is>
          <t>high</t>
        </is>
      </c>
      <c r="J6" s="23" t="inlineStr">
        <is>
          <t>verified</t>
        </is>
      </c>
      <c r="K6" s="23" t="inlineStr">
        <is>
          <t>keep</t>
        </is>
      </c>
      <c r="L6" s="24" t="inlineStr">
        <is>
          <t>microbiotas dominated by Alloiococcus, Corynebacterium, or Staphylococcus species were also less likely to be observed in longitudinally collected samples from children who experienced 1 or more exacerbations in the outcome period (RR = 0. 61, q = 0. 14; RR = 0. 44, q = 0. 12; and RR = 0. 70, q = 0. 14, respectively)</t>
        </is>
      </c>
      <c r="M6" s="20" t="inlineStr"/>
      <c r="N6" s="21" t="inlineStr"/>
      <c r="O6" s="21" t="inlineStr"/>
    </row>
    <row r="7" ht="20" customHeight="1">
      <c r="A7" s="16" t="inlineStr">
        <is>
          <t>Corynebacterium species</t>
        </is>
      </c>
      <c r="B7" s="16" t="inlineStr">
        <is>
          <t>bacteria</t>
        </is>
      </c>
      <c r="C7" s="16" t="inlineStr">
        <is>
          <t>genus</t>
        </is>
      </c>
      <c r="D7" s="16" t="inlineStr">
        <is>
          <t>asthma</t>
        </is>
      </c>
      <c r="E7" s="27" t="inlineStr">
        <is>
          <t>decreased</t>
        </is>
      </c>
      <c r="F7" s="16" t="inlineStr">
        <is>
          <t>disease_vs_control</t>
        </is>
      </c>
      <c r="G7" s="16" t="inlineStr">
        <is>
          <t>nasal</t>
        </is>
      </c>
      <c r="H7" s="16" t="inlineStr">
        <is>
          <t>q=0.12</t>
        </is>
      </c>
      <c r="I7" s="16" t="inlineStr">
        <is>
          <t>high</t>
        </is>
      </c>
      <c r="J7" s="18" t="inlineStr">
        <is>
          <t>verified</t>
        </is>
      </c>
      <c r="K7" s="18" t="inlineStr">
        <is>
          <t>keep</t>
        </is>
      </c>
      <c r="L7" s="19" t="inlineStr">
        <is>
          <t>microbiotas dominated by Alloiococcus, Corynebacterium, or Staphylococcus species were also less likely to be observed in longitudinally collected samples from children who experienced 1 or more exacerbations in the outcome period (RR = 0. 61, q = 0. 14; RR = 0. 44, q = 0. 12; and RR = 0. 70, q = 0. 14, respectively)</t>
        </is>
      </c>
      <c r="M7" s="20" t="inlineStr"/>
      <c r="N7" s="21" t="inlineStr"/>
      <c r="O7" s="21" t="inlineStr"/>
    </row>
    <row r="8" ht="20" customHeight="1">
      <c r="A8" s="22" t="inlineStr">
        <is>
          <t>Staphylococcus species</t>
        </is>
      </c>
      <c r="B8" s="22" t="inlineStr">
        <is>
          <t>bacteria</t>
        </is>
      </c>
      <c r="C8" s="22" t="inlineStr">
        <is>
          <t>genus</t>
        </is>
      </c>
      <c r="D8" s="22" t="inlineStr">
        <is>
          <t>asthma</t>
        </is>
      </c>
      <c r="E8" s="27" t="inlineStr">
        <is>
          <t>decreased</t>
        </is>
      </c>
      <c r="F8" s="22" t="inlineStr">
        <is>
          <t>disease_vs_control</t>
        </is>
      </c>
      <c r="G8" s="22" t="inlineStr">
        <is>
          <t>nasal</t>
        </is>
      </c>
      <c r="H8" s="22" t="inlineStr">
        <is>
          <t>q=0.14</t>
        </is>
      </c>
      <c r="I8" s="22" t="inlineStr">
        <is>
          <t>high</t>
        </is>
      </c>
      <c r="J8" s="23" t="inlineStr">
        <is>
          <t>verified</t>
        </is>
      </c>
      <c r="K8" s="23" t="inlineStr">
        <is>
          <t>keep</t>
        </is>
      </c>
      <c r="L8" s="24" t="inlineStr">
        <is>
          <t>microbiotas dominated by Alloiococcus, Corynebacterium, or Staphylococcus species were also less likely to be observed in longitudinally collected samples from children who experienced 1 or more exacerbations in the outcome period (RR = 0. 61, q = 0. 14; RR = 0. 44, q = 0. 12; and RR = 0. 70, q = 0. 14, respectively)</t>
        </is>
      </c>
      <c r="M8" s="20" t="inlineStr"/>
      <c r="N8" s="21" t="inlineStr"/>
      <c r="O8" s="21" t="inlineStr"/>
    </row>
    <row r="9" ht="20" customHeight="1">
      <c r="A9" s="16" t="inlineStr">
        <is>
          <t>Staphylococcus species</t>
        </is>
      </c>
      <c r="B9" s="16" t="inlineStr">
        <is>
          <t>bacteria</t>
        </is>
      </c>
      <c r="C9" s="16" t="inlineStr">
        <is>
          <t>genus</t>
        </is>
      </c>
      <c r="D9" s="16" t="inlineStr">
        <is>
          <t>rhinovirus infection</t>
        </is>
      </c>
      <c r="E9" s="27" t="inlineStr">
        <is>
          <t>decreased</t>
        </is>
      </c>
      <c r="F9" s="16" t="inlineStr">
        <is>
          <t>disease_vs_control</t>
        </is>
      </c>
      <c r="G9" s="16" t="inlineStr">
        <is>
          <t>nasal</t>
        </is>
      </c>
      <c r="H9" s="16" t="inlineStr">
        <is>
          <t>q=0.05</t>
        </is>
      </c>
      <c r="I9" s="16" t="inlineStr">
        <is>
          <t>high</t>
        </is>
      </c>
      <c r="J9" s="18" t="inlineStr">
        <is>
          <t>verified</t>
        </is>
      </c>
      <c r="K9" s="18" t="inlineStr">
        <is>
          <t>keep</t>
        </is>
      </c>
      <c r="L9" s="19" t="inlineStr">
        <is>
          <t>samples with rhinovirus infection, specifically those samples with rhinovirus A detected, were less likely to exhibit a Staphylococcus species–dominated microbiota (RR = 0. 84, q = 0. 05 and RR = 0. 75, q = 0. 05, respectively)</t>
        </is>
      </c>
      <c r="M9" s="20" t="inlineStr"/>
      <c r="N9" s="21" t="inlineStr"/>
      <c r="O9" s="21" t="inlineStr"/>
    </row>
    <row r="10" ht="20" customHeight="1">
      <c r="A10" s="22" t="inlineStr">
        <is>
          <t>Staphylococcus species</t>
        </is>
      </c>
      <c r="B10" s="22" t="inlineStr">
        <is>
          <t>bacteria</t>
        </is>
      </c>
      <c r="C10" s="22" t="inlineStr">
        <is>
          <t>genus</t>
        </is>
      </c>
      <c r="D10" s="22" t="inlineStr">
        <is>
          <t>rhinovirus A infection</t>
        </is>
      </c>
      <c r="E10" s="27" t="inlineStr">
        <is>
          <t>decreased</t>
        </is>
      </c>
      <c r="F10" s="22" t="inlineStr">
        <is>
          <t>disease_vs_control</t>
        </is>
      </c>
      <c r="G10" s="22" t="inlineStr">
        <is>
          <t>nasal</t>
        </is>
      </c>
      <c r="H10" s="22" t="inlineStr">
        <is>
          <t>q=0.05</t>
        </is>
      </c>
      <c r="I10" s="22" t="inlineStr">
        <is>
          <t>high</t>
        </is>
      </c>
      <c r="J10" s="23" t="inlineStr">
        <is>
          <t>verified</t>
        </is>
      </c>
      <c r="K10" s="23" t="inlineStr">
        <is>
          <t>keep</t>
        </is>
      </c>
      <c r="L10" s="24" t="inlineStr">
        <is>
          <t>samples with rhinovirus infection, specifically those samples with rhinovirus A detected, were less likely to exhibit a Staphylococcus species–dominated microbiota (RR = 0. 84, q = 0. 05 and RR = 0. 75, q = 0. 05, respectively)</t>
        </is>
      </c>
      <c r="M10" s="20" t="inlineStr"/>
      <c r="N10" s="21" t="inlineStr"/>
      <c r="O10" s="21" t="inlineStr"/>
    </row>
    <row r="11" ht="20" customHeight="1">
      <c r="A11" s="16" t="inlineStr">
        <is>
          <t>Staphylococcus species</t>
        </is>
      </c>
      <c r="B11" s="16" t="inlineStr">
        <is>
          <t>bacteria</t>
        </is>
      </c>
      <c r="C11" s="16" t="inlineStr">
        <is>
          <t>genus</t>
        </is>
      </c>
      <c r="D11" s="16" t="inlineStr">
        <is>
          <t>viral respiratory infection</t>
        </is>
      </c>
      <c r="E11" s="27" t="inlineStr">
        <is>
          <t>decreased</t>
        </is>
      </c>
      <c r="F11" s="16" t="inlineStr">
        <is>
          <t>disease_vs_control</t>
        </is>
      </c>
      <c r="G11" s="16" t="inlineStr">
        <is>
          <t>nasal</t>
        </is>
      </c>
      <c r="H11" s="16" t="inlineStr">
        <is>
          <t>q=0.03</t>
        </is>
      </c>
      <c r="I11" s="16" t="inlineStr">
        <is>
          <t>high</t>
        </is>
      </c>
      <c r="J11" s="18" t="inlineStr">
        <is>
          <t>verified</t>
        </is>
      </c>
      <c r="K11" s="18" t="inlineStr">
        <is>
          <t>keep</t>
        </is>
      </c>
      <c r="L11" s="19" t="inlineStr">
        <is>
          <t>participants with a greater number of virus-positive samples were also less likely to possess a Staphylococcus species–dominated nasal airway microbiota (RR = 0. 89, q = 0. 03)</t>
        </is>
      </c>
      <c r="M11" s="20" t="inlineStr"/>
      <c r="N11" s="21" t="inlineStr"/>
      <c r="O11" s="21" t="inlineStr"/>
    </row>
    <row r="12" ht="20" customHeight="1">
      <c r="A12" s="22" t="inlineStr">
        <is>
          <t>Streptococcus species</t>
        </is>
      </c>
      <c r="B12" s="22" t="inlineStr">
        <is>
          <t>bacteria</t>
        </is>
      </c>
      <c r="C12" s="22" t="inlineStr">
        <is>
          <t>genus</t>
        </is>
      </c>
      <c r="D12" s="22" t="inlineStr">
        <is>
          <t>rhinovirus infection</t>
        </is>
      </c>
      <c r="E12" s="17" t="inlineStr">
        <is>
          <t>increased</t>
        </is>
      </c>
      <c r="F12" s="22" t="inlineStr">
        <is>
          <t>disease_vs_control</t>
        </is>
      </c>
      <c r="G12" s="22" t="inlineStr">
        <is>
          <t>nasal</t>
        </is>
      </c>
      <c r="H12" s="22" t="inlineStr">
        <is>
          <t>q&lt;0.01</t>
        </is>
      </c>
      <c r="I12" s="22" t="inlineStr">
        <is>
          <t>high</t>
        </is>
      </c>
      <c r="J12" s="23" t="inlineStr">
        <is>
          <t>verified</t>
        </is>
      </c>
      <c r="K12" s="23" t="inlineStr">
        <is>
          <t>keep</t>
        </is>
      </c>
      <c r="L12" s="24" t="inlineStr">
        <is>
          <t>rhinovirus infection, specifically rhinovirus A, or respiratory illness events were more likely to occur in children with a Streptococcus species–dominated microbiota (RR = 1. 54, q &lt; 0. 01 [rhinovirus infection]; RR = 1. 70, q = 0. 03 [rhinovirus A infection]; and RR = 1. 78, q &lt; 0. 01 [respiratory illness])</t>
        </is>
      </c>
      <c r="M12" s="20" t="inlineStr"/>
      <c r="N12" s="21" t="inlineStr"/>
      <c r="O12" s="21" t="inlineStr"/>
    </row>
    <row r="13" ht="20" customHeight="1">
      <c r="A13" s="16" t="inlineStr">
        <is>
          <t>Streptococcus species</t>
        </is>
      </c>
      <c r="B13" s="16" t="inlineStr">
        <is>
          <t>bacteria</t>
        </is>
      </c>
      <c r="C13" s="16" t="inlineStr">
        <is>
          <t>genus</t>
        </is>
      </c>
      <c r="D13" s="16" t="inlineStr">
        <is>
          <t>rhinovirus A infection</t>
        </is>
      </c>
      <c r="E13" s="17" t="inlineStr">
        <is>
          <t>increased</t>
        </is>
      </c>
      <c r="F13" s="16" t="inlineStr">
        <is>
          <t>disease_vs_control</t>
        </is>
      </c>
      <c r="G13" s="16" t="inlineStr">
        <is>
          <t>nasal</t>
        </is>
      </c>
      <c r="H13" s="16" t="inlineStr">
        <is>
          <t>q=0.03</t>
        </is>
      </c>
      <c r="I13" s="16" t="inlineStr">
        <is>
          <t>high</t>
        </is>
      </c>
      <c r="J13" s="18" t="inlineStr">
        <is>
          <t>verified</t>
        </is>
      </c>
      <c r="K13" s="18" t="inlineStr">
        <is>
          <t>keep</t>
        </is>
      </c>
      <c r="L13" s="19" t="inlineStr">
        <is>
          <t>rhinovirus infection, specifically rhinovirus A, or respiratory illness events were more likely to occur in children with a Streptococcus species–dominated microbiota (RR = 1. 54, q &lt; 0. 01 [rhinovirus infection]; RR = 1. 70, q = 0. 03 [rhinovirus A infection]; and RR = 1. 78, q &lt; 0. 01 [respiratory illness])</t>
        </is>
      </c>
      <c r="M13" s="20" t="inlineStr"/>
      <c r="N13" s="21" t="inlineStr"/>
      <c r="O13" s="21" t="inlineStr"/>
    </row>
    <row r="14" ht="20" customHeight="1">
      <c r="A14" s="22" t="inlineStr">
        <is>
          <t>Streptococcus species</t>
        </is>
      </c>
      <c r="B14" s="22" t="inlineStr">
        <is>
          <t>bacteria</t>
        </is>
      </c>
      <c r="C14" s="22" t="inlineStr">
        <is>
          <t>genus</t>
        </is>
      </c>
      <c r="D14" s="22" t="inlineStr">
        <is>
          <t>respiratory illness</t>
        </is>
      </c>
      <c r="E14" s="17" t="inlineStr">
        <is>
          <t>increased</t>
        </is>
      </c>
      <c r="F14" s="22" t="inlineStr">
        <is>
          <t>disease_vs_control</t>
        </is>
      </c>
      <c r="G14" s="22" t="inlineStr">
        <is>
          <t>nasal</t>
        </is>
      </c>
      <c r="H14" s="22" t="inlineStr">
        <is>
          <t>q&lt;0.01</t>
        </is>
      </c>
      <c r="I14" s="22" t="inlineStr">
        <is>
          <t>high</t>
        </is>
      </c>
      <c r="J14" s="23" t="inlineStr">
        <is>
          <t>verified</t>
        </is>
      </c>
      <c r="K14" s="23" t="inlineStr">
        <is>
          <t>keep</t>
        </is>
      </c>
      <c r="L14" s="24" t="inlineStr">
        <is>
          <t>rhinovirus infection, specifically rhinovirus A, or respiratory illness events were more likely to occur in children with a Streptococcus species–dominated microbiota (RR = 1. 54, q &lt; 0. 01 [rhinovirus infection]; RR = 1. 70, q = 0. 03 [rhinovirus A infection]; and RR = 1. 78, q &lt; 0. 01 [respiratory illness])</t>
        </is>
      </c>
      <c r="M14" s="20" t="inlineStr"/>
      <c r="N14" s="21" t="inlineStr"/>
      <c r="O14" s="21" t="inlineStr"/>
    </row>
    <row r="15" ht="20" customHeight="1">
      <c r="A15" s="16" t="inlineStr">
        <is>
          <t>Streptococcus species</t>
        </is>
      </c>
      <c r="B15" s="16" t="inlineStr">
        <is>
          <t>bacteria</t>
        </is>
      </c>
      <c r="C15" s="16" t="inlineStr">
        <is>
          <t>genus</t>
        </is>
      </c>
      <c r="D15" s="16" t="inlineStr">
        <is>
          <t>respiratory illness</t>
        </is>
      </c>
      <c r="E15" s="17" t="inlineStr">
        <is>
          <t>increased</t>
        </is>
      </c>
      <c r="F15" s="16" t="inlineStr">
        <is>
          <t>disease_vs_control</t>
        </is>
      </c>
      <c r="G15" s="16" t="inlineStr">
        <is>
          <t>nasal</t>
        </is>
      </c>
      <c r="H15" s="16" t="inlineStr">
        <is>
          <t>0.014</t>
        </is>
      </c>
      <c r="I15" s="16" t="inlineStr">
        <is>
          <t>high</t>
        </is>
      </c>
      <c r="J15" s="18" t="inlineStr">
        <is>
          <t>verified</t>
        </is>
      </c>
      <c r="K15" s="18" t="inlineStr">
        <is>
          <t>keep_flagged</t>
        </is>
      </c>
      <c r="L15" s="19" t="inlineStr">
        <is>
          <t>Streptococcus species–dominated microbiotas and rhinovirus infection significantly increased the RR of respiratory illness (RR = 1. 82, P =. 014; see Fig E5)</t>
        </is>
      </c>
      <c r="M15" s="20" t="inlineStr"/>
      <c r="N15" s="21" t="inlineStr"/>
      <c r="O15" s="21" t="inlineStr"/>
    </row>
    <row r="16" ht="20" customHeight="1">
      <c r="A16" s="22" t="inlineStr">
        <is>
          <t>Moraxella catarrhalis</t>
        </is>
      </c>
      <c r="B16" s="22" t="inlineStr">
        <is>
          <t>bacteria</t>
        </is>
      </c>
      <c r="C16" s="22" t="inlineStr">
        <is>
          <t>species</t>
        </is>
      </c>
      <c r="D16" s="22" t="inlineStr">
        <is>
          <t>asthma</t>
        </is>
      </c>
      <c r="E16" s="17" t="inlineStr">
        <is>
          <t>increased</t>
        </is>
      </c>
      <c r="F16" s="22" t="inlineStr">
        <is>
          <t>disease_vs_control</t>
        </is>
      </c>
      <c r="G16" s="22" t="inlineStr">
        <is>
          <t>nasal</t>
        </is>
      </c>
      <c r="H16" s="22" t="inlineStr">
        <is>
          <t>p&lt;0.01</t>
        </is>
      </c>
      <c r="I16" s="22" t="inlineStr">
        <is>
          <t>high</t>
        </is>
      </c>
      <c r="J16" s="23" t="inlineStr">
        <is>
          <t>verified</t>
        </is>
      </c>
      <c r="K16" s="23" t="inlineStr">
        <is>
          <t>keep_flagged</t>
        </is>
      </c>
      <c r="L16" s="24" t="inlineStr">
        <is>
          <t>Compared with S epidermidis or C propinquum, the cell-free products of M catarrhalis isolates consistently increased epithelial damage (P &lt;. 01, Wilcoxon test) and gene expression of the proinflammatory cytokines IL-8 and IL-33 (P &lt;. 03, Wilcoxon test; Fig 5)</t>
        </is>
      </c>
      <c r="M16" s="20" t="inlineStr"/>
      <c r="N16" s="21" t="inlineStr"/>
      <c r="O16" s="21" t="inlineStr"/>
    </row>
    <row r="17" ht="20" customHeight="1">
      <c r="A17" s="16" t="inlineStr">
        <is>
          <t>Staphylococcus aureus</t>
        </is>
      </c>
      <c r="B17" s="16" t="inlineStr">
        <is>
          <t>bacteria</t>
        </is>
      </c>
      <c r="C17" s="16" t="inlineStr">
        <is>
          <t>species</t>
        </is>
      </c>
      <c r="D17" s="16" t="inlineStr">
        <is>
          <t>asthma</t>
        </is>
      </c>
      <c r="E17" s="17" t="inlineStr">
        <is>
          <t>increased</t>
        </is>
      </c>
      <c r="F17" s="16" t="inlineStr">
        <is>
          <t>disease_vs_control</t>
        </is>
      </c>
      <c r="G17" s="16" t="inlineStr">
        <is>
          <t>nasal</t>
        </is>
      </c>
      <c r="H17" s="16" t="inlineStr">
        <is>
          <t>0.003</t>
        </is>
      </c>
      <c r="I17" s="16" t="inlineStr">
        <is>
          <t>medium</t>
        </is>
      </c>
      <c r="J17" s="18" t="inlineStr">
        <is>
          <t>verified</t>
        </is>
      </c>
      <c r="K17" s="18" t="inlineStr">
        <is>
          <t>keep_flagged</t>
        </is>
      </c>
      <c r="L17" s="19" t="inlineStr">
        <is>
          <t>S aureus also increased expression of IL-8 (P =. 003 and P =. 002, respectively, Wilcoxon test; Fig 5) in addition to CXCL10 and occludin (P &lt;. 05, Wilcoxon test; see Fig E8)</t>
        </is>
      </c>
      <c r="M17" s="20" t="inlineStr"/>
      <c r="N17" s="21" t="inlineStr"/>
      <c r="O17" s="21" t="inlineStr"/>
    </row>
    <row r="18" ht="20" customHeight="1">
      <c r="A18" s="22" t="inlineStr">
        <is>
          <t>Corynebacterium species</t>
        </is>
      </c>
      <c r="B18" s="22" t="inlineStr">
        <is>
          <t>bacteria</t>
        </is>
      </c>
      <c r="C18" s="22" t="inlineStr">
        <is>
          <t>genus</t>
        </is>
      </c>
      <c r="D18" s="22" t="inlineStr">
        <is>
          <t>respiratory illness</t>
        </is>
      </c>
      <c r="E18" s="27" t="inlineStr">
        <is>
          <t>decreased</t>
        </is>
      </c>
      <c r="F18" s="22" t="inlineStr">
        <is>
          <t>disease_vs_control</t>
        </is>
      </c>
      <c r="G18" s="22" t="inlineStr">
        <is>
          <t>nasal</t>
        </is>
      </c>
      <c r="H18" s="22" t="inlineStr">
        <is>
          <t>q=0.05</t>
        </is>
      </c>
      <c r="I18" s="22" t="inlineStr">
        <is>
          <t>high</t>
        </is>
      </c>
      <c r="J18" s="23" t="inlineStr">
        <is>
          <t>verified</t>
        </is>
      </c>
      <c r="K18" s="23" t="inlineStr">
        <is>
          <t>keep</t>
        </is>
      </c>
      <c r="L18" s="24" t="inlineStr">
        <is>
          <t>Staphylococcus or Corynebacterium species–dominated microbiotas were associated with reduced respiratory illness and exacerbation events</t>
        </is>
      </c>
      <c r="M18" s="20" t="inlineStr"/>
      <c r="N18" s="21" t="inlineStr"/>
      <c r="O18" s="21" t="inlineStr"/>
    </row>
    <row r="19" ht="20" customHeight="1">
      <c r="A19" s="16" t="inlineStr">
        <is>
          <t>Staphylococcus species</t>
        </is>
      </c>
      <c r="B19" s="16" t="inlineStr">
        <is>
          <t>bacteria</t>
        </is>
      </c>
      <c r="C19" s="16" t="inlineStr">
        <is>
          <t>genus</t>
        </is>
      </c>
      <c r="D19" s="16" t="inlineStr">
        <is>
          <t>respiratory illness</t>
        </is>
      </c>
      <c r="E19" s="27" t="inlineStr">
        <is>
          <t>decreased</t>
        </is>
      </c>
      <c r="F19" s="16" t="inlineStr">
        <is>
          <t>disease_vs_control</t>
        </is>
      </c>
      <c r="G19" s="16" t="inlineStr">
        <is>
          <t>nasal</t>
        </is>
      </c>
      <c r="H19" s="16" t="inlineStr">
        <is>
          <t>q=0.05</t>
        </is>
      </c>
      <c r="I19" s="16" t="inlineStr">
        <is>
          <t>high</t>
        </is>
      </c>
      <c r="J19" s="18" t="inlineStr">
        <is>
          <t>verified</t>
        </is>
      </c>
      <c r="K19" s="18" t="inlineStr">
        <is>
          <t>keep</t>
        </is>
      </c>
      <c r="L19" s="19" t="inlineStr">
        <is>
          <t>Staphylococcus or Corynebacterium species–dominated microbiotas were associated with reduced respiratory illness and exacerbation events</t>
        </is>
      </c>
      <c r="M19" s="20" t="inlineStr"/>
      <c r="N19" s="21" t="inlineStr"/>
      <c r="O19" s="21" t="inlineStr"/>
    </row>
    <row r="20" ht="20" customHeight="1">
      <c r="A20" s="22" t="inlineStr">
        <is>
          <t>Acinetobacter</t>
        </is>
      </c>
      <c r="B20" s="22" t="inlineStr">
        <is>
          <t>bacteria</t>
        </is>
      </c>
      <c r="C20" s="22" t="inlineStr">
        <is>
          <t>genus</t>
        </is>
      </c>
      <c r="D20" s="22" t="inlineStr">
        <is>
          <t>asthma</t>
        </is>
      </c>
      <c r="E20" s="27" t="inlineStr">
        <is>
          <t>decreased</t>
        </is>
      </c>
      <c r="F20" s="22" t="inlineStr">
        <is>
          <t>disease_vs_control</t>
        </is>
      </c>
      <c r="G20" s="22" t="inlineStr">
        <is>
          <t>nasal</t>
        </is>
      </c>
      <c r="H20" s="22" t="inlineStr"/>
      <c r="I20" s="22" t="inlineStr">
        <is>
          <t>low</t>
        </is>
      </c>
      <c r="J20" s="23" t="inlineStr">
        <is>
          <t>verified</t>
        </is>
      </c>
      <c r="K20" s="23" t="inlineStr">
        <is>
          <t>keep_flagged</t>
        </is>
      </c>
      <c r="L20" s="24" t="inlineStr">
        <is>
          <t>A number of distinct Corynebacterium and Acinetobacter taxa were depleted at baseline in children who went on to experience an exacerbation (see Fig E1, A, in this article's Online Repository at www. jacionline. org)</t>
        </is>
      </c>
      <c r="M20" s="20" t="inlineStr"/>
      <c r="N20" s="21" t="inlineStr"/>
      <c r="O20" s="21" t="inlineStr"/>
    </row>
    <row r="21" ht="20" customHeight="1">
      <c r="A21" s="16" t="inlineStr">
        <is>
          <t>Streptococcus species</t>
        </is>
      </c>
      <c r="B21" s="16" t="inlineStr">
        <is>
          <t>bacteria</t>
        </is>
      </c>
      <c r="C21" s="16" t="inlineStr">
        <is>
          <t>genus</t>
        </is>
      </c>
      <c r="D21" s="16" t="inlineStr">
        <is>
          <t>asthma</t>
        </is>
      </c>
      <c r="E21" s="25" t="inlineStr">
        <is>
          <t>unchanged</t>
        </is>
      </c>
      <c r="F21" s="16" t="inlineStr">
        <is>
          <t>disease_vs_control</t>
        </is>
      </c>
      <c r="G21" s="16" t="inlineStr">
        <is>
          <t>nasal</t>
        </is>
      </c>
      <c r="H21" s="16" t="inlineStr"/>
      <c r="I21" s="16" t="inlineStr">
        <is>
          <t>high</t>
        </is>
      </c>
      <c r="J21" s="18" t="inlineStr">
        <is>
          <t>verified</t>
        </is>
      </c>
      <c r="K21" s="18" t="inlineStr">
        <is>
          <t>keep</t>
        </is>
      </c>
      <c r="L21" s="19" t="inlineStr">
        <is>
          <t>However, asthma exacerbations were not significantly associated with the frequency of Streptococcus species–dominated microbiotas in this cohort.</t>
        </is>
      </c>
      <c r="M21" s="20" t="inlineStr"/>
      <c r="N21" s="21" t="inlineStr"/>
      <c r="O21"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21" showDropDown="0" showInputMessage="0" showErrorMessage="0" allowBlank="1" type="list">
      <formula1>"approved,rejected,modified"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68"/>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2007 — A population-scale analysis of 36 gut microbiome studies reveals universal species signatures for common diseases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Faecalibacterium prausnitzii</t>
        </is>
      </c>
      <c r="B3" s="16" t="inlineStr">
        <is>
          <t>bacteria</t>
        </is>
      </c>
      <c r="C3" s="16" t="inlineStr">
        <is>
          <t>species</t>
        </is>
      </c>
      <c r="D3" s="16" t="inlineStr">
        <is>
          <t>multiple diseases (meta-analysis)</t>
        </is>
      </c>
      <c r="E3" s="27" t="inlineStr">
        <is>
          <t>decreased</t>
        </is>
      </c>
      <c r="F3" s="16" t="inlineStr">
        <is>
          <t>disease_vs_control</t>
        </is>
      </c>
      <c r="G3" s="16" t="inlineStr">
        <is>
          <t>fecal</t>
        </is>
      </c>
      <c r="H3" s="16" t="inlineStr"/>
      <c r="I3" s="16" t="inlineStr">
        <is>
          <t>high</t>
        </is>
      </c>
      <c r="J3" s="18" t="inlineStr">
        <is>
          <t>verified</t>
        </is>
      </c>
      <c r="K3" s="18" t="inlineStr">
        <is>
          <t>keep</t>
        </is>
      </c>
      <c r="L3" s="19" t="inlineStr">
        <is>
          <t>Most of the control-enriched species belonged to the phylum Firmicutes, including members of Clostridium...Faecalibacterium (e.g., F. prausnitzii)...Consistent with the species-level results, several genera involved in SCFA production such as Faecalibacterium, Roseburia, and Butyricicoccus were reduced in diseased subjected compared to healthy controls</t>
        </is>
      </c>
      <c r="M3" s="20" t="inlineStr"/>
      <c r="N3" s="21" t="inlineStr"/>
      <c r="O3" s="21" t="inlineStr"/>
    </row>
    <row r="4" ht="20" customHeight="1">
      <c r="A4" s="22" t="inlineStr">
        <is>
          <t>Roseburia intestinalis</t>
        </is>
      </c>
      <c r="B4" s="22" t="inlineStr">
        <is>
          <t>bacteria</t>
        </is>
      </c>
      <c r="C4" s="22" t="inlineStr">
        <is>
          <t>species</t>
        </is>
      </c>
      <c r="D4" s="22" t="inlineStr">
        <is>
          <t>multiple diseases (meta-analysis)</t>
        </is>
      </c>
      <c r="E4" s="27" t="inlineStr">
        <is>
          <t>decreased</t>
        </is>
      </c>
      <c r="F4" s="22" t="inlineStr">
        <is>
          <t>disease_vs_control</t>
        </is>
      </c>
      <c r="G4" s="22" t="inlineStr">
        <is>
          <t>fecal</t>
        </is>
      </c>
      <c r="H4" s="22" t="inlineStr"/>
      <c r="I4" s="22" t="inlineStr">
        <is>
          <t>high</t>
        </is>
      </c>
      <c r="J4" s="23" t="inlineStr">
        <is>
          <t>verified</t>
        </is>
      </c>
      <c r="K4" s="23" t="inlineStr">
        <is>
          <t>keep</t>
        </is>
      </c>
      <c r="L4" s="24" t="inlineStr">
        <is>
          <t>Most of the control-enriched species belonged to the phylum Firmicutes, including members of...Roseburia (e.g., R. intestinalis, R. faecis, R. hominis, and R. inulinivorans)</t>
        </is>
      </c>
      <c r="M4" s="20" t="inlineStr"/>
      <c r="N4" s="21" t="inlineStr"/>
      <c r="O4" s="21" t="inlineStr"/>
    </row>
    <row r="5" ht="20" customHeight="1">
      <c r="A5" s="16" t="inlineStr">
        <is>
          <t>Roseburia faecis</t>
        </is>
      </c>
      <c r="B5" s="16" t="inlineStr">
        <is>
          <t>bacteria</t>
        </is>
      </c>
      <c r="C5" s="16" t="inlineStr">
        <is>
          <t>species</t>
        </is>
      </c>
      <c r="D5" s="16" t="inlineStr">
        <is>
          <t>multiple diseases (meta-analysis)</t>
        </is>
      </c>
      <c r="E5" s="27" t="inlineStr">
        <is>
          <t>decreased</t>
        </is>
      </c>
      <c r="F5" s="16" t="inlineStr">
        <is>
          <t>disease_vs_control</t>
        </is>
      </c>
      <c r="G5" s="16" t="inlineStr">
        <is>
          <t>fecal</t>
        </is>
      </c>
      <c r="H5" s="16" t="inlineStr"/>
      <c r="I5" s="16" t="inlineStr">
        <is>
          <t>high</t>
        </is>
      </c>
      <c r="J5" s="18" t="inlineStr">
        <is>
          <t>verified</t>
        </is>
      </c>
      <c r="K5" s="18" t="inlineStr">
        <is>
          <t>keep</t>
        </is>
      </c>
      <c r="L5" s="19" t="inlineStr">
        <is>
          <t>Most of the control-enriched species belonged to the phylum Firmicutes, including members of...Roseburia (e.g., R. intestinalis, R. faecis, R. hominis, and R. inulinivorans)</t>
        </is>
      </c>
      <c r="M5" s="20" t="inlineStr"/>
      <c r="N5" s="21" t="inlineStr"/>
      <c r="O5" s="21" t="inlineStr"/>
    </row>
    <row r="6" ht="20" customHeight="1">
      <c r="A6" s="22" t="inlineStr">
        <is>
          <t>Roseburia hominis</t>
        </is>
      </c>
      <c r="B6" s="22" t="inlineStr">
        <is>
          <t>bacteria</t>
        </is>
      </c>
      <c r="C6" s="22" t="inlineStr">
        <is>
          <t>species</t>
        </is>
      </c>
      <c r="D6" s="22" t="inlineStr">
        <is>
          <t>multiple diseases (meta-analysis)</t>
        </is>
      </c>
      <c r="E6" s="27" t="inlineStr">
        <is>
          <t>decreased</t>
        </is>
      </c>
      <c r="F6" s="22" t="inlineStr">
        <is>
          <t>disease_vs_control</t>
        </is>
      </c>
      <c r="G6" s="22" t="inlineStr">
        <is>
          <t>fecal</t>
        </is>
      </c>
      <c r="H6" s="22" t="inlineStr"/>
      <c r="I6" s="22" t="inlineStr">
        <is>
          <t>high</t>
        </is>
      </c>
      <c r="J6" s="23" t="inlineStr">
        <is>
          <t>verified</t>
        </is>
      </c>
      <c r="K6" s="23" t="inlineStr">
        <is>
          <t>keep</t>
        </is>
      </c>
      <c r="L6" s="24" t="inlineStr">
        <is>
          <t>Most of the control-enriched species belonged to the phylum Firmicutes, including members of...Roseburia (e.g., R. intestinalis, R. faecis, R. hominis, and R. inulinivorans)</t>
        </is>
      </c>
      <c r="M6" s="20" t="inlineStr"/>
      <c r="N6" s="21" t="inlineStr"/>
      <c r="O6" s="21" t="inlineStr"/>
    </row>
    <row r="7" ht="20" customHeight="1">
      <c r="A7" s="16" t="inlineStr">
        <is>
          <t>Roseburia inulinivorans</t>
        </is>
      </c>
      <c r="B7" s="16" t="inlineStr">
        <is>
          <t>bacteria</t>
        </is>
      </c>
      <c r="C7" s="16" t="inlineStr">
        <is>
          <t>species</t>
        </is>
      </c>
      <c r="D7" s="16" t="inlineStr">
        <is>
          <t>multiple diseases (meta-analysis)</t>
        </is>
      </c>
      <c r="E7" s="27" t="inlineStr">
        <is>
          <t>decreased</t>
        </is>
      </c>
      <c r="F7" s="16" t="inlineStr">
        <is>
          <t>disease_vs_control</t>
        </is>
      </c>
      <c r="G7" s="16" t="inlineStr">
        <is>
          <t>fecal</t>
        </is>
      </c>
      <c r="H7" s="16" t="inlineStr"/>
      <c r="I7" s="16" t="inlineStr">
        <is>
          <t>high</t>
        </is>
      </c>
      <c r="J7" s="18" t="inlineStr">
        <is>
          <t>verified</t>
        </is>
      </c>
      <c r="K7" s="18" t="inlineStr">
        <is>
          <t>keep</t>
        </is>
      </c>
      <c r="L7" s="19" t="inlineStr">
        <is>
          <t>Most of the control-enriched species belonged to the phylum Firmicutes, including members of...Roseburia (e.g., R. intestinalis, R. faecis, R. hominis, and R. inulinivorans)</t>
        </is>
      </c>
      <c r="M7" s="20" t="inlineStr"/>
      <c r="N7" s="21" t="inlineStr"/>
      <c r="O7" s="21" t="inlineStr"/>
    </row>
    <row r="8" ht="20" customHeight="1">
      <c r="A8" s="22" t="inlineStr">
        <is>
          <t>Blautia faecicola</t>
        </is>
      </c>
      <c r="B8" s="22" t="inlineStr">
        <is>
          <t>bacteria</t>
        </is>
      </c>
      <c r="C8" s="22" t="inlineStr">
        <is>
          <t>species</t>
        </is>
      </c>
      <c r="D8" s="22" t="inlineStr">
        <is>
          <t>multiple diseases (meta-analysis)</t>
        </is>
      </c>
      <c r="E8" s="27" t="inlineStr">
        <is>
          <t>decreased</t>
        </is>
      </c>
      <c r="F8" s="22" t="inlineStr">
        <is>
          <t>disease_vs_control</t>
        </is>
      </c>
      <c r="G8" s="22" t="inlineStr">
        <is>
          <t>fecal</t>
        </is>
      </c>
      <c r="H8" s="22" t="inlineStr"/>
      <c r="I8" s="22" t="inlineStr">
        <is>
          <t>high</t>
        </is>
      </c>
      <c r="J8" s="23" t="inlineStr">
        <is>
          <t>verified</t>
        </is>
      </c>
      <c r="K8" s="23" t="inlineStr">
        <is>
          <t>keep</t>
        </is>
      </c>
      <c r="L8" s="24" t="inlineStr">
        <is>
          <t>Most of the control-enriched species belonged to the phylum Firmicutes, including members of...Blautia (e.g., B. faecicola, B. glucerasea, B. massiliensis, and B. stercoris)</t>
        </is>
      </c>
      <c r="M8" s="20" t="inlineStr"/>
      <c r="N8" s="21" t="inlineStr"/>
      <c r="O8" s="21" t="inlineStr"/>
    </row>
    <row r="9" ht="20" customHeight="1">
      <c r="A9" s="16" t="inlineStr">
        <is>
          <t>Blautia glucerasea</t>
        </is>
      </c>
      <c r="B9" s="16" t="inlineStr">
        <is>
          <t>bacteria</t>
        </is>
      </c>
      <c r="C9" s="16" t="inlineStr">
        <is>
          <t>species</t>
        </is>
      </c>
      <c r="D9" s="16" t="inlineStr">
        <is>
          <t>multiple diseases (meta-analysis)</t>
        </is>
      </c>
      <c r="E9" s="27" t="inlineStr">
        <is>
          <t>decreased</t>
        </is>
      </c>
      <c r="F9" s="16" t="inlineStr">
        <is>
          <t>disease_vs_control</t>
        </is>
      </c>
      <c r="G9" s="16" t="inlineStr">
        <is>
          <t>fecal</t>
        </is>
      </c>
      <c r="H9" s="16" t="inlineStr"/>
      <c r="I9" s="16" t="inlineStr">
        <is>
          <t>high</t>
        </is>
      </c>
      <c r="J9" s="18" t="inlineStr">
        <is>
          <t>verified</t>
        </is>
      </c>
      <c r="K9" s="18" t="inlineStr">
        <is>
          <t>keep</t>
        </is>
      </c>
      <c r="L9" s="19" t="inlineStr">
        <is>
          <t>Most of the control-enriched species belonged to the phylum Firmicutes, including members of...Blautia (e.g., B. faecicola, B. glucerasea, B. massiliensis, and B. stercoris)</t>
        </is>
      </c>
      <c r="M9" s="20" t="inlineStr"/>
      <c r="N9" s="21" t="inlineStr"/>
      <c r="O9" s="21" t="inlineStr"/>
    </row>
    <row r="10" ht="20" customHeight="1">
      <c r="A10" s="22" t="inlineStr">
        <is>
          <t>Blautia massiliensis</t>
        </is>
      </c>
      <c r="B10" s="22" t="inlineStr">
        <is>
          <t>bacteria</t>
        </is>
      </c>
      <c r="C10" s="22" t="inlineStr">
        <is>
          <t>species</t>
        </is>
      </c>
      <c r="D10" s="22" t="inlineStr">
        <is>
          <t>multiple diseases (meta-analysis)</t>
        </is>
      </c>
      <c r="E10" s="27" t="inlineStr">
        <is>
          <t>decreased</t>
        </is>
      </c>
      <c r="F10" s="22" t="inlineStr">
        <is>
          <t>disease_vs_control</t>
        </is>
      </c>
      <c r="G10" s="22" t="inlineStr">
        <is>
          <t>fecal</t>
        </is>
      </c>
      <c r="H10" s="22" t="inlineStr"/>
      <c r="I10" s="22" t="inlineStr">
        <is>
          <t>high</t>
        </is>
      </c>
      <c r="J10" s="23" t="inlineStr">
        <is>
          <t>verified</t>
        </is>
      </c>
      <c r="K10" s="23" t="inlineStr">
        <is>
          <t>keep</t>
        </is>
      </c>
      <c r="L10" s="24" t="inlineStr">
        <is>
          <t>Most of the control-enriched species belonged to the phylum Firmicutes, including members of...Blautia (e.g., B. faecicola, B. glucerasea, B. massiliensis, and B. stercoris)</t>
        </is>
      </c>
      <c r="M10" s="20" t="inlineStr"/>
      <c r="N10" s="21" t="inlineStr"/>
      <c r="O10" s="21" t="inlineStr"/>
    </row>
    <row r="11" ht="20" customHeight="1">
      <c r="A11" s="16" t="inlineStr">
        <is>
          <t>Blautia stercoris</t>
        </is>
      </c>
      <c r="B11" s="16" t="inlineStr">
        <is>
          <t>bacteria</t>
        </is>
      </c>
      <c r="C11" s="16" t="inlineStr">
        <is>
          <t>species</t>
        </is>
      </c>
      <c r="D11" s="16" t="inlineStr">
        <is>
          <t>multiple diseases (meta-analysis)</t>
        </is>
      </c>
      <c r="E11" s="27" t="inlineStr">
        <is>
          <t>decreased</t>
        </is>
      </c>
      <c r="F11" s="16" t="inlineStr">
        <is>
          <t>disease_vs_control</t>
        </is>
      </c>
      <c r="G11" s="16" t="inlineStr">
        <is>
          <t>fecal</t>
        </is>
      </c>
      <c r="H11" s="16" t="inlineStr"/>
      <c r="I11" s="16" t="inlineStr">
        <is>
          <t>high</t>
        </is>
      </c>
      <c r="J11" s="18" t="inlineStr">
        <is>
          <t>verified</t>
        </is>
      </c>
      <c r="K11" s="18" t="inlineStr">
        <is>
          <t>keep</t>
        </is>
      </c>
      <c r="L11" s="19" t="inlineStr">
        <is>
          <t>Most of the control-enriched species belonged to the phylum Firmicutes, including members of...Blautia (e.g., B. faecicola, B. glucerasea, B. massiliensis, and B. stercoris)</t>
        </is>
      </c>
      <c r="M11" s="20" t="inlineStr"/>
      <c r="N11" s="21" t="inlineStr"/>
      <c r="O11" s="21" t="inlineStr"/>
    </row>
    <row r="12" ht="20" customHeight="1">
      <c r="A12" s="22" t="inlineStr">
        <is>
          <t>Clostridium fessum</t>
        </is>
      </c>
      <c r="B12" s="22" t="inlineStr">
        <is>
          <t>bacteria</t>
        </is>
      </c>
      <c r="C12" s="22" t="inlineStr">
        <is>
          <t>species</t>
        </is>
      </c>
      <c r="D12" s="22" t="inlineStr">
        <is>
          <t>multiple diseases (meta-analysis)</t>
        </is>
      </c>
      <c r="E12" s="27" t="inlineStr">
        <is>
          <t>decreased</t>
        </is>
      </c>
      <c r="F12" s="22" t="inlineStr">
        <is>
          <t>disease_vs_control</t>
        </is>
      </c>
      <c r="G12" s="22" t="inlineStr">
        <is>
          <t>fecal</t>
        </is>
      </c>
      <c r="H12" s="22" t="inlineStr"/>
      <c r="I12" s="22" t="inlineStr">
        <is>
          <t>high</t>
        </is>
      </c>
      <c r="J12" s="23" t="inlineStr">
        <is>
          <t>verified</t>
        </is>
      </c>
      <c r="K12" s="23" t="inlineStr">
        <is>
          <t>keep</t>
        </is>
      </c>
      <c r="L12" s="24" t="inlineStr">
        <is>
          <t>Most of the control-enriched species belonged to the phylum Firmicutes, including members of Clostridium (containing C. fessum, C. leptum, and a variety of unclassified species)</t>
        </is>
      </c>
      <c r="M12" s="20" t="inlineStr"/>
      <c r="N12" s="21" t="inlineStr"/>
      <c r="O12" s="21" t="inlineStr"/>
    </row>
    <row r="13" ht="20" customHeight="1">
      <c r="A13" s="16" t="inlineStr">
        <is>
          <t>Clostridium leptum</t>
        </is>
      </c>
      <c r="B13" s="16" t="inlineStr">
        <is>
          <t>bacteria</t>
        </is>
      </c>
      <c r="C13" s="16" t="inlineStr">
        <is>
          <t>species</t>
        </is>
      </c>
      <c r="D13" s="16" t="inlineStr">
        <is>
          <t>multiple diseases (meta-analysis)</t>
        </is>
      </c>
      <c r="E13" s="27" t="inlineStr">
        <is>
          <t>decreased</t>
        </is>
      </c>
      <c r="F13" s="16" t="inlineStr">
        <is>
          <t>disease_vs_control</t>
        </is>
      </c>
      <c r="G13" s="16" t="inlineStr">
        <is>
          <t>fecal</t>
        </is>
      </c>
      <c r="H13" s="16" t="inlineStr"/>
      <c r="I13" s="16" t="inlineStr">
        <is>
          <t>high</t>
        </is>
      </c>
      <c r="J13" s="18" t="inlineStr">
        <is>
          <t>verified</t>
        </is>
      </c>
      <c r="K13" s="18" t="inlineStr">
        <is>
          <t>keep</t>
        </is>
      </c>
      <c r="L13" s="19" t="inlineStr">
        <is>
          <t>Most of the control-enriched species belonged to the phylum Firmicutes, including members of Clostridium (containing C. fessum, C. leptum, and a variety of unclassified species)</t>
        </is>
      </c>
      <c r="M13" s="20" t="inlineStr"/>
      <c r="N13" s="21" t="inlineStr"/>
      <c r="O13" s="21" t="inlineStr"/>
    </row>
    <row r="14" ht="20" customHeight="1">
      <c r="A14" s="22" t="inlineStr">
        <is>
          <t>Ruminococcus bicirculans</t>
        </is>
      </c>
      <c r="B14" s="22" t="inlineStr">
        <is>
          <t>bacteria</t>
        </is>
      </c>
      <c r="C14" s="22" t="inlineStr">
        <is>
          <t>species</t>
        </is>
      </c>
      <c r="D14" s="22" t="inlineStr">
        <is>
          <t>multiple diseases (meta-analysis)</t>
        </is>
      </c>
      <c r="E14" s="27" t="inlineStr">
        <is>
          <t>decreased</t>
        </is>
      </c>
      <c r="F14" s="22" t="inlineStr">
        <is>
          <t>disease_vs_control</t>
        </is>
      </c>
      <c r="G14" s="22" t="inlineStr">
        <is>
          <t>fecal</t>
        </is>
      </c>
      <c r="H14" s="22" t="inlineStr"/>
      <c r="I14" s="22" t="inlineStr">
        <is>
          <t>high</t>
        </is>
      </c>
      <c r="J14" s="23" t="inlineStr">
        <is>
          <t>verified</t>
        </is>
      </c>
      <c r="K14" s="23" t="inlineStr">
        <is>
          <t>keep</t>
        </is>
      </c>
      <c r="L14" s="24" t="inlineStr">
        <is>
          <t>Most of the control-enriched species belonged to the phylum Firmicutes, including members of...Ruminococcus (e.g., R. bicirculans, R. bromii, R. callidus, and R. lactaris)</t>
        </is>
      </c>
      <c r="M14" s="20" t="inlineStr"/>
      <c r="N14" s="21" t="inlineStr"/>
      <c r="O14" s="21" t="inlineStr"/>
    </row>
    <row r="15" ht="20" customHeight="1">
      <c r="A15" s="16" t="inlineStr">
        <is>
          <t>Ruminococcus bromii</t>
        </is>
      </c>
      <c r="B15" s="16" t="inlineStr">
        <is>
          <t>bacteria</t>
        </is>
      </c>
      <c r="C15" s="16" t="inlineStr">
        <is>
          <t>species</t>
        </is>
      </c>
      <c r="D15" s="16" t="inlineStr">
        <is>
          <t>multiple diseases (meta-analysis)</t>
        </is>
      </c>
      <c r="E15" s="27" t="inlineStr">
        <is>
          <t>decreased</t>
        </is>
      </c>
      <c r="F15" s="16" t="inlineStr">
        <is>
          <t>disease_vs_control</t>
        </is>
      </c>
      <c r="G15" s="16" t="inlineStr">
        <is>
          <t>fecal</t>
        </is>
      </c>
      <c r="H15" s="16" t="inlineStr"/>
      <c r="I15" s="16" t="inlineStr">
        <is>
          <t>high</t>
        </is>
      </c>
      <c r="J15" s="18" t="inlineStr">
        <is>
          <t>verified</t>
        </is>
      </c>
      <c r="K15" s="18" t="inlineStr">
        <is>
          <t>keep</t>
        </is>
      </c>
      <c r="L15" s="19" t="inlineStr">
        <is>
          <t>Most of the control-enriched species belonged to the phylum Firmicutes, including members of...Ruminococcus (e.g., R. bicirculans, R. bromii, R. callidus, and R. lactaris)</t>
        </is>
      </c>
      <c r="M15" s="20" t="inlineStr"/>
      <c r="N15" s="21" t="inlineStr"/>
      <c r="O15" s="21" t="inlineStr"/>
    </row>
    <row r="16" ht="20" customHeight="1">
      <c r="A16" s="22" t="inlineStr">
        <is>
          <t>Ruminococcus callidus</t>
        </is>
      </c>
      <c r="B16" s="22" t="inlineStr">
        <is>
          <t>bacteria</t>
        </is>
      </c>
      <c r="C16" s="22" t="inlineStr">
        <is>
          <t>species</t>
        </is>
      </c>
      <c r="D16" s="22" t="inlineStr">
        <is>
          <t>multiple diseases (meta-analysis)</t>
        </is>
      </c>
      <c r="E16" s="27" t="inlineStr">
        <is>
          <t>decreased</t>
        </is>
      </c>
      <c r="F16" s="22" t="inlineStr">
        <is>
          <t>disease_vs_control</t>
        </is>
      </c>
      <c r="G16" s="22" t="inlineStr">
        <is>
          <t>fecal</t>
        </is>
      </c>
      <c r="H16" s="22" t="inlineStr"/>
      <c r="I16" s="22" t="inlineStr">
        <is>
          <t>high</t>
        </is>
      </c>
      <c r="J16" s="23" t="inlineStr">
        <is>
          <t>verified</t>
        </is>
      </c>
      <c r="K16" s="23" t="inlineStr">
        <is>
          <t>keep</t>
        </is>
      </c>
      <c r="L16" s="24" t="inlineStr">
        <is>
          <t>Most of the control-enriched species belonged to the phylum Firmicutes, including members of...Ruminococcus (e.g., R. bicirculans, R. bromii, R. callidus, and R. lactaris)</t>
        </is>
      </c>
      <c r="M16" s="20" t="inlineStr"/>
      <c r="N16" s="21" t="inlineStr"/>
      <c r="O16" s="21" t="inlineStr"/>
    </row>
    <row r="17" ht="20" customHeight="1">
      <c r="A17" s="16" t="inlineStr">
        <is>
          <t>Ruminococcus lactaris</t>
        </is>
      </c>
      <c r="B17" s="16" t="inlineStr">
        <is>
          <t>bacteria</t>
        </is>
      </c>
      <c r="C17" s="16" t="inlineStr">
        <is>
          <t>species</t>
        </is>
      </c>
      <c r="D17" s="16" t="inlineStr">
        <is>
          <t>multiple diseases (meta-analysis)</t>
        </is>
      </c>
      <c r="E17" s="27" t="inlineStr">
        <is>
          <t>decreased</t>
        </is>
      </c>
      <c r="F17" s="16" t="inlineStr">
        <is>
          <t>disease_vs_control</t>
        </is>
      </c>
      <c r="G17" s="16" t="inlineStr">
        <is>
          <t>fecal</t>
        </is>
      </c>
      <c r="H17" s="16" t="inlineStr"/>
      <c r="I17" s="16" t="inlineStr">
        <is>
          <t>high</t>
        </is>
      </c>
      <c r="J17" s="18" t="inlineStr">
        <is>
          <t>verified</t>
        </is>
      </c>
      <c r="K17" s="18" t="inlineStr">
        <is>
          <t>keep</t>
        </is>
      </c>
      <c r="L17" s="19" t="inlineStr">
        <is>
          <t>Most of the control-enriched species belonged to the phylum Firmicutes, including members of...Ruminococcus (e.g., R. bicirculans, R. bromii, R. callidus, and R. lactaris)</t>
        </is>
      </c>
      <c r="M17" s="20" t="inlineStr"/>
      <c r="N17" s="21" t="inlineStr"/>
      <c r="O17" s="21" t="inlineStr"/>
    </row>
    <row r="18" ht="20" customHeight="1">
      <c r="A18" s="22" t="inlineStr">
        <is>
          <t>Bacteroides cellulosilyticus</t>
        </is>
      </c>
      <c r="B18" s="22" t="inlineStr">
        <is>
          <t>bacteria</t>
        </is>
      </c>
      <c r="C18" s="22" t="inlineStr">
        <is>
          <t>species</t>
        </is>
      </c>
      <c r="D18" s="22" t="inlineStr">
        <is>
          <t>multiple diseases (meta-analysis)</t>
        </is>
      </c>
      <c r="E18" s="27" t="inlineStr">
        <is>
          <t>decreased</t>
        </is>
      </c>
      <c r="F18" s="22" t="inlineStr">
        <is>
          <t>disease_vs_control</t>
        </is>
      </c>
      <c r="G18" s="22" t="inlineStr">
        <is>
          <t>fecal</t>
        </is>
      </c>
      <c r="H18" s="22" t="inlineStr"/>
      <c r="I18" s="22" t="inlineStr">
        <is>
          <t>high</t>
        </is>
      </c>
      <c r="J18" s="23" t="inlineStr">
        <is>
          <t>verified</t>
        </is>
      </c>
      <c r="K18" s="23" t="inlineStr">
        <is>
          <t>keep</t>
        </is>
      </c>
      <c r="L18" s="24" t="inlineStr">
        <is>
          <t>The remaining control-enriched species included several Bacteroidetes members, such as species of Bacteroides (e.g., B. cellulosilyticus, B. eggerthii, B. faecis, B. finegoldii, B. intestinalis, and B. uniformis)</t>
        </is>
      </c>
      <c r="M18" s="20" t="inlineStr"/>
      <c r="N18" s="21" t="inlineStr"/>
      <c r="O18" s="21" t="inlineStr"/>
    </row>
    <row r="19" ht="20" customHeight="1">
      <c r="A19" s="16" t="inlineStr">
        <is>
          <t>Bacteroides eggerthii</t>
        </is>
      </c>
      <c r="B19" s="16" t="inlineStr">
        <is>
          <t>bacteria</t>
        </is>
      </c>
      <c r="C19" s="16" t="inlineStr">
        <is>
          <t>species</t>
        </is>
      </c>
      <c r="D19" s="16" t="inlineStr">
        <is>
          <t>multiple diseases (meta-analysis)</t>
        </is>
      </c>
      <c r="E19" s="27" t="inlineStr">
        <is>
          <t>decreased</t>
        </is>
      </c>
      <c r="F19" s="16" t="inlineStr">
        <is>
          <t>disease_vs_control</t>
        </is>
      </c>
      <c r="G19" s="16" t="inlineStr">
        <is>
          <t>fecal</t>
        </is>
      </c>
      <c r="H19" s="16" t="inlineStr"/>
      <c r="I19" s="16" t="inlineStr">
        <is>
          <t>high</t>
        </is>
      </c>
      <c r="J19" s="18" t="inlineStr">
        <is>
          <t>verified</t>
        </is>
      </c>
      <c r="K19" s="18" t="inlineStr">
        <is>
          <t>keep</t>
        </is>
      </c>
      <c r="L19" s="19" t="inlineStr">
        <is>
          <t>The remaining control-enriched species included several Bacteroidetes members, such as species of Bacteroides (e.g., B. cellulosilyticus, B. eggerthii, B. faecis, B. finegoldii, B. intestinalis, and B. uniformis)</t>
        </is>
      </c>
      <c r="M19" s="20" t="inlineStr"/>
      <c r="N19" s="21" t="inlineStr"/>
      <c r="O19" s="21" t="inlineStr"/>
    </row>
    <row r="20" ht="20" customHeight="1">
      <c r="A20" s="22" t="inlineStr">
        <is>
          <t>Bacteroides faecis</t>
        </is>
      </c>
      <c r="B20" s="22" t="inlineStr">
        <is>
          <t>bacteria</t>
        </is>
      </c>
      <c r="C20" s="22" t="inlineStr">
        <is>
          <t>species</t>
        </is>
      </c>
      <c r="D20" s="22" t="inlineStr">
        <is>
          <t>multiple diseases (meta-analysis)</t>
        </is>
      </c>
      <c r="E20" s="27" t="inlineStr">
        <is>
          <t>decreased</t>
        </is>
      </c>
      <c r="F20" s="22" t="inlineStr">
        <is>
          <t>disease_vs_control</t>
        </is>
      </c>
      <c r="G20" s="22" t="inlineStr">
        <is>
          <t>fecal</t>
        </is>
      </c>
      <c r="H20" s="22" t="inlineStr"/>
      <c r="I20" s="22" t="inlineStr">
        <is>
          <t>high</t>
        </is>
      </c>
      <c r="J20" s="23" t="inlineStr">
        <is>
          <t>verified</t>
        </is>
      </c>
      <c r="K20" s="23" t="inlineStr">
        <is>
          <t>keep</t>
        </is>
      </c>
      <c r="L20" s="24" t="inlineStr">
        <is>
          <t>The remaining control-enriched species included several Bacteroidetes members, such as species of Bacteroides (e.g., B. cellulosilyticus, B. eggerthii, B. faecis, B. finegoldii, B. intestinalis, and B. uniformis)</t>
        </is>
      </c>
      <c r="M20" s="20" t="inlineStr"/>
      <c r="N20" s="21" t="inlineStr"/>
      <c r="O20" s="21" t="inlineStr"/>
    </row>
    <row r="21" ht="20" customHeight="1">
      <c r="A21" s="16" t="inlineStr">
        <is>
          <t>Bacteroides finegoldii</t>
        </is>
      </c>
      <c r="B21" s="16" t="inlineStr">
        <is>
          <t>bacteria</t>
        </is>
      </c>
      <c r="C21" s="16" t="inlineStr">
        <is>
          <t>species</t>
        </is>
      </c>
      <c r="D21" s="16" t="inlineStr">
        <is>
          <t>multiple diseases (meta-analysis)</t>
        </is>
      </c>
      <c r="E21" s="27" t="inlineStr">
        <is>
          <t>decreased</t>
        </is>
      </c>
      <c r="F21" s="16" t="inlineStr">
        <is>
          <t>disease_vs_control</t>
        </is>
      </c>
      <c r="G21" s="16" t="inlineStr">
        <is>
          <t>fecal</t>
        </is>
      </c>
      <c r="H21" s="16" t="inlineStr"/>
      <c r="I21" s="16" t="inlineStr">
        <is>
          <t>high</t>
        </is>
      </c>
      <c r="J21" s="18" t="inlineStr">
        <is>
          <t>verified</t>
        </is>
      </c>
      <c r="K21" s="18" t="inlineStr">
        <is>
          <t>keep</t>
        </is>
      </c>
      <c r="L21" s="19" t="inlineStr">
        <is>
          <t>The remaining control-enriched species included several Bacteroidetes members, such as species of Bacteroides (e.g., B. cellulosilyticus, B. eggerthii, B. faecis, B. finegoldii, B. intestinalis, and B. uniformis)</t>
        </is>
      </c>
      <c r="M21" s="20" t="inlineStr"/>
      <c r="N21" s="21" t="inlineStr"/>
      <c r="O21" s="21" t="inlineStr"/>
    </row>
    <row r="22" ht="20" customHeight="1">
      <c r="A22" s="22" t="inlineStr">
        <is>
          <t>Bacteroides intestinalis</t>
        </is>
      </c>
      <c r="B22" s="22" t="inlineStr">
        <is>
          <t>bacteria</t>
        </is>
      </c>
      <c r="C22" s="22" t="inlineStr">
        <is>
          <t>species</t>
        </is>
      </c>
      <c r="D22" s="22" t="inlineStr">
        <is>
          <t>multiple diseases (meta-analysis)</t>
        </is>
      </c>
      <c r="E22" s="27" t="inlineStr">
        <is>
          <t>decreased</t>
        </is>
      </c>
      <c r="F22" s="22" t="inlineStr">
        <is>
          <t>disease_vs_control</t>
        </is>
      </c>
      <c r="G22" s="22" t="inlineStr">
        <is>
          <t>fecal</t>
        </is>
      </c>
      <c r="H22" s="22" t="inlineStr"/>
      <c r="I22" s="22" t="inlineStr">
        <is>
          <t>high</t>
        </is>
      </c>
      <c r="J22" s="23" t="inlineStr">
        <is>
          <t>verified</t>
        </is>
      </c>
      <c r="K22" s="23" t="inlineStr">
        <is>
          <t>keep</t>
        </is>
      </c>
      <c r="L22" s="24" t="inlineStr">
        <is>
          <t>The remaining control-enriched species included several Bacteroidetes members, such as species of Bacteroides (e.g., B. cellulosilyticus, B. eggerthii, B. faecis, B. finegoldii, B. intestinalis, and B. uniformis)</t>
        </is>
      </c>
      <c r="M22" s="20" t="inlineStr"/>
      <c r="N22" s="21" t="inlineStr"/>
      <c r="O22" s="21" t="inlineStr"/>
    </row>
    <row r="23" ht="20" customHeight="1">
      <c r="A23" s="16" t="inlineStr">
        <is>
          <t>Bacteroides uniformis</t>
        </is>
      </c>
      <c r="B23" s="16" t="inlineStr">
        <is>
          <t>bacteria</t>
        </is>
      </c>
      <c r="C23" s="16" t="inlineStr">
        <is>
          <t>species</t>
        </is>
      </c>
      <c r="D23" s="16" t="inlineStr">
        <is>
          <t>multiple diseases (meta-analysis)</t>
        </is>
      </c>
      <c r="E23" s="27" t="inlineStr">
        <is>
          <t>decreased</t>
        </is>
      </c>
      <c r="F23" s="16" t="inlineStr">
        <is>
          <t>disease_vs_control</t>
        </is>
      </c>
      <c r="G23" s="16" t="inlineStr">
        <is>
          <t>fecal</t>
        </is>
      </c>
      <c r="H23" s="16" t="inlineStr"/>
      <c r="I23" s="16" t="inlineStr">
        <is>
          <t>high</t>
        </is>
      </c>
      <c r="J23" s="18" t="inlineStr">
        <is>
          <t>verified</t>
        </is>
      </c>
      <c r="K23" s="18" t="inlineStr">
        <is>
          <t>keep</t>
        </is>
      </c>
      <c r="L23" s="19" t="inlineStr">
        <is>
          <t>The remaining control-enriched species included several Bacteroidetes members, such as species of Bacteroides (e.g., B. cellulosilyticus, B. eggerthii, B. faecis, B. finegoldii, B. intestinalis, and B. uniformis)</t>
        </is>
      </c>
      <c r="M23" s="20" t="inlineStr"/>
      <c r="N23" s="21" t="inlineStr"/>
      <c r="O23" s="21" t="inlineStr"/>
    </row>
    <row r="24" ht="20" customHeight="1">
      <c r="A24" s="22" t="inlineStr">
        <is>
          <t>Alistipes inops</t>
        </is>
      </c>
      <c r="B24" s="22" t="inlineStr">
        <is>
          <t>bacteria</t>
        </is>
      </c>
      <c r="C24" s="22" t="inlineStr">
        <is>
          <t>species</t>
        </is>
      </c>
      <c r="D24" s="22" t="inlineStr">
        <is>
          <t>multiple diseases (meta-analysis)</t>
        </is>
      </c>
      <c r="E24" s="27" t="inlineStr">
        <is>
          <t>decreased</t>
        </is>
      </c>
      <c r="F24" s="22" t="inlineStr">
        <is>
          <t>disease_vs_control</t>
        </is>
      </c>
      <c r="G24" s="22" t="inlineStr">
        <is>
          <t>fecal</t>
        </is>
      </c>
      <c r="H24" s="22" t="inlineStr"/>
      <c r="I24" s="22" t="inlineStr">
        <is>
          <t>high</t>
        </is>
      </c>
      <c r="J24" s="23" t="inlineStr">
        <is>
          <t>verified</t>
        </is>
      </c>
      <c r="K24" s="23" t="inlineStr">
        <is>
          <t>keep</t>
        </is>
      </c>
      <c r="L24" s="24" t="inlineStr">
        <is>
          <t>and Alistipes (e.g., A. inops, A. senegalensis, and A. shahii)</t>
        </is>
      </c>
      <c r="M24" s="20" t="inlineStr"/>
      <c r="N24" s="21" t="inlineStr"/>
      <c r="O24" s="21" t="inlineStr"/>
    </row>
    <row r="25" ht="20" customHeight="1">
      <c r="A25" s="16" t="inlineStr">
        <is>
          <t>Alistipes senegalensis</t>
        </is>
      </c>
      <c r="B25" s="16" t="inlineStr">
        <is>
          <t>bacteria</t>
        </is>
      </c>
      <c r="C25" s="16" t="inlineStr">
        <is>
          <t>species</t>
        </is>
      </c>
      <c r="D25" s="16" t="inlineStr">
        <is>
          <t>multiple diseases (meta-analysis)</t>
        </is>
      </c>
      <c r="E25" s="27" t="inlineStr">
        <is>
          <t>decreased</t>
        </is>
      </c>
      <c r="F25" s="16" t="inlineStr">
        <is>
          <t>disease_vs_control</t>
        </is>
      </c>
      <c r="G25" s="16" t="inlineStr">
        <is>
          <t>fecal</t>
        </is>
      </c>
      <c r="H25" s="16" t="inlineStr"/>
      <c r="I25" s="16" t="inlineStr">
        <is>
          <t>high</t>
        </is>
      </c>
      <c r="J25" s="18" t="inlineStr">
        <is>
          <t>verified</t>
        </is>
      </c>
      <c r="K25" s="18" t="inlineStr">
        <is>
          <t>keep</t>
        </is>
      </c>
      <c r="L25" s="19" t="inlineStr">
        <is>
          <t>and Alistipes (e.g., A. inops, A. senegalensis, and A. shahii)</t>
        </is>
      </c>
      <c r="M25" s="20" t="inlineStr"/>
      <c r="N25" s="21" t="inlineStr"/>
      <c r="O25" s="21" t="inlineStr"/>
    </row>
    <row r="26" ht="20" customHeight="1">
      <c r="A26" s="22" t="inlineStr">
        <is>
          <t>Alistipes shahii</t>
        </is>
      </c>
      <c r="B26" s="22" t="inlineStr">
        <is>
          <t>bacteria</t>
        </is>
      </c>
      <c r="C26" s="22" t="inlineStr">
        <is>
          <t>species</t>
        </is>
      </c>
      <c r="D26" s="22" t="inlineStr">
        <is>
          <t>multiple diseases (meta-analysis)</t>
        </is>
      </c>
      <c r="E26" s="27" t="inlineStr">
        <is>
          <t>decreased</t>
        </is>
      </c>
      <c r="F26" s="22" t="inlineStr">
        <is>
          <t>disease_vs_control</t>
        </is>
      </c>
      <c r="G26" s="22" t="inlineStr">
        <is>
          <t>fecal</t>
        </is>
      </c>
      <c r="H26" s="22" t="inlineStr"/>
      <c r="I26" s="22" t="inlineStr">
        <is>
          <t>high</t>
        </is>
      </c>
      <c r="J26" s="23" t="inlineStr">
        <is>
          <t>verified</t>
        </is>
      </c>
      <c r="K26" s="23" t="inlineStr">
        <is>
          <t>keep</t>
        </is>
      </c>
      <c r="L26" s="24" t="inlineStr">
        <is>
          <t>and Alistipes (e.g., A. inops, A. senegalensis, and A. shahii)</t>
        </is>
      </c>
      <c r="M26" s="20" t="inlineStr"/>
      <c r="N26" s="21" t="inlineStr"/>
      <c r="O26" s="21" t="inlineStr"/>
    </row>
    <row r="27" ht="20" customHeight="1">
      <c r="A27" s="16" t="inlineStr">
        <is>
          <t>Streptococcus anginosus</t>
        </is>
      </c>
      <c r="B27" s="16" t="inlineStr">
        <is>
          <t>bacteria</t>
        </is>
      </c>
      <c r="C27" s="16" t="inlineStr">
        <is>
          <t>species</t>
        </is>
      </c>
      <c r="D27" s="16" t="inlineStr">
        <is>
          <t>multiple diseases (meta-analysis)</t>
        </is>
      </c>
      <c r="E27" s="17" t="inlineStr">
        <is>
          <t>increased</t>
        </is>
      </c>
      <c r="F27" s="16" t="inlineStr">
        <is>
          <t>disease_vs_control</t>
        </is>
      </c>
      <c r="G27" s="16" t="inlineStr">
        <is>
          <t>fecal</t>
        </is>
      </c>
      <c r="H27" s="16" t="inlineStr"/>
      <c r="I27" s="16" t="inlineStr">
        <is>
          <t>high</t>
        </is>
      </c>
      <c r="J27" s="18" t="inlineStr">
        <is>
          <t>verified</t>
        </is>
      </c>
      <c r="K27" s="18" t="inlineStr">
        <is>
          <t>keep</t>
        </is>
      </c>
      <c r="L27" s="19" t="inlineStr">
        <is>
          <t>the overgrowth of Streptococcus (containing S. anginosus, S. constellatus, S. gallolyticus, S. gordonii, S. infantis, S. mutans, S. oralis, and S. parasanguinis)...have previously been found in many diseases</t>
        </is>
      </c>
      <c r="M27" s="20" t="inlineStr"/>
      <c r="N27" s="21" t="inlineStr"/>
      <c r="O27" s="21" t="inlineStr"/>
    </row>
    <row r="28" ht="20" customHeight="1">
      <c r="A28" s="22" t="inlineStr">
        <is>
          <t>Streptococcus constellatus</t>
        </is>
      </c>
      <c r="B28" s="22" t="inlineStr">
        <is>
          <t>bacteria</t>
        </is>
      </c>
      <c r="C28" s="22" t="inlineStr">
        <is>
          <t>species</t>
        </is>
      </c>
      <c r="D28" s="22" t="inlineStr">
        <is>
          <t>multiple diseases (meta-analysis)</t>
        </is>
      </c>
      <c r="E28" s="17" t="inlineStr">
        <is>
          <t>increased</t>
        </is>
      </c>
      <c r="F28" s="22" t="inlineStr">
        <is>
          <t>disease_vs_control</t>
        </is>
      </c>
      <c r="G28" s="22" t="inlineStr">
        <is>
          <t>fecal</t>
        </is>
      </c>
      <c r="H28" s="22" t="inlineStr"/>
      <c r="I28" s="22" t="inlineStr">
        <is>
          <t>high</t>
        </is>
      </c>
      <c r="J28" s="23" t="inlineStr">
        <is>
          <t>verified</t>
        </is>
      </c>
      <c r="K28" s="23" t="inlineStr">
        <is>
          <t>keep</t>
        </is>
      </c>
      <c r="L28" s="24" t="inlineStr">
        <is>
          <t>the overgrowth of Streptococcus (containing S. anginosus, S. constellatus, S. gallolyticus, S. gordonii, S. infantis, S. mutans, S. oralis, and S. parasanguinis)...have previously been found in many diseases</t>
        </is>
      </c>
      <c r="M28" s="20" t="inlineStr"/>
      <c r="N28" s="21" t="inlineStr"/>
      <c r="O28" s="21" t="inlineStr"/>
    </row>
    <row r="29" ht="20" customHeight="1">
      <c r="A29" s="16" t="inlineStr">
        <is>
          <t>Streptococcus gallolyticus</t>
        </is>
      </c>
      <c r="B29" s="16" t="inlineStr">
        <is>
          <t>bacteria</t>
        </is>
      </c>
      <c r="C29" s="16" t="inlineStr">
        <is>
          <t>species</t>
        </is>
      </c>
      <c r="D29" s="16" t="inlineStr">
        <is>
          <t>multiple diseases (meta-analysis)</t>
        </is>
      </c>
      <c r="E29" s="17" t="inlineStr">
        <is>
          <t>increased</t>
        </is>
      </c>
      <c r="F29" s="16" t="inlineStr">
        <is>
          <t>disease_vs_control</t>
        </is>
      </c>
      <c r="G29" s="16" t="inlineStr">
        <is>
          <t>fecal</t>
        </is>
      </c>
      <c r="H29" s="16" t="inlineStr"/>
      <c r="I29" s="16" t="inlineStr">
        <is>
          <t>high</t>
        </is>
      </c>
      <c r="J29" s="18" t="inlineStr">
        <is>
          <t>verified</t>
        </is>
      </c>
      <c r="K29" s="18" t="inlineStr">
        <is>
          <t>keep</t>
        </is>
      </c>
      <c r="L29" s="19" t="inlineStr">
        <is>
          <t>the overgrowth of Streptococcus (containing S. anginosus, S. constellatus, S. gallolyticus, S. gordonii, S. infantis, S. mutans, S. oralis, and S. parasanguinis)...have previously been found in many diseases</t>
        </is>
      </c>
      <c r="M29" s="20" t="inlineStr"/>
      <c r="N29" s="21" t="inlineStr"/>
      <c r="O29" s="21" t="inlineStr"/>
    </row>
    <row r="30" ht="20" customHeight="1">
      <c r="A30" s="22" t="inlineStr">
        <is>
          <t>Streptococcus gordonii</t>
        </is>
      </c>
      <c r="B30" s="22" t="inlineStr">
        <is>
          <t>bacteria</t>
        </is>
      </c>
      <c r="C30" s="22" t="inlineStr">
        <is>
          <t>species</t>
        </is>
      </c>
      <c r="D30" s="22" t="inlineStr">
        <is>
          <t>multiple diseases (meta-analysis)</t>
        </is>
      </c>
      <c r="E30" s="17" t="inlineStr">
        <is>
          <t>increased</t>
        </is>
      </c>
      <c r="F30" s="22" t="inlineStr">
        <is>
          <t>disease_vs_control</t>
        </is>
      </c>
      <c r="G30" s="22" t="inlineStr">
        <is>
          <t>fecal</t>
        </is>
      </c>
      <c r="H30" s="22" t="inlineStr"/>
      <c r="I30" s="22" t="inlineStr">
        <is>
          <t>high</t>
        </is>
      </c>
      <c r="J30" s="23" t="inlineStr">
        <is>
          <t>verified</t>
        </is>
      </c>
      <c r="K30" s="23" t="inlineStr">
        <is>
          <t>keep</t>
        </is>
      </c>
      <c r="L30" s="24" t="inlineStr">
        <is>
          <t>the overgrowth of Streptococcus (containing S. anginosus, S. constellatus, S. gallolyticus, S. gordonii, S. infantis, S. mutans, S. oralis, and S. parasanguinis)...have previously been found in many diseases</t>
        </is>
      </c>
      <c r="M30" s="20" t="inlineStr"/>
      <c r="N30" s="21" t="inlineStr"/>
      <c r="O30" s="21" t="inlineStr"/>
    </row>
    <row r="31" ht="20" customHeight="1">
      <c r="A31" s="16" t="inlineStr">
        <is>
          <t>Streptococcus infantis</t>
        </is>
      </c>
      <c r="B31" s="16" t="inlineStr">
        <is>
          <t>bacteria</t>
        </is>
      </c>
      <c r="C31" s="16" t="inlineStr">
        <is>
          <t>species</t>
        </is>
      </c>
      <c r="D31" s="16" t="inlineStr">
        <is>
          <t>multiple diseases (meta-analysis)</t>
        </is>
      </c>
      <c r="E31" s="17" t="inlineStr">
        <is>
          <t>increased</t>
        </is>
      </c>
      <c r="F31" s="16" t="inlineStr">
        <is>
          <t>disease_vs_control</t>
        </is>
      </c>
      <c r="G31" s="16" t="inlineStr">
        <is>
          <t>fecal</t>
        </is>
      </c>
      <c r="H31" s="16" t="inlineStr"/>
      <c r="I31" s="16" t="inlineStr">
        <is>
          <t>high</t>
        </is>
      </c>
      <c r="J31" s="18" t="inlineStr">
        <is>
          <t>verified</t>
        </is>
      </c>
      <c r="K31" s="18" t="inlineStr">
        <is>
          <t>keep</t>
        </is>
      </c>
      <c r="L31" s="19" t="inlineStr">
        <is>
          <t>the overgrowth of Streptococcus (containing S. anginosus, S. constellatus, S. gallolyticus, S. gordonii, S. infantis, S. mutans, S. oralis, and S. parasanguinis)...have previously been found in many diseases</t>
        </is>
      </c>
      <c r="M31" s="20" t="inlineStr"/>
      <c r="N31" s="21" t="inlineStr"/>
      <c r="O31" s="21" t="inlineStr"/>
    </row>
    <row r="32" ht="20" customHeight="1">
      <c r="A32" s="22" t="inlineStr">
        <is>
          <t>Streptococcus mutans</t>
        </is>
      </c>
      <c r="B32" s="22" t="inlineStr">
        <is>
          <t>bacteria</t>
        </is>
      </c>
      <c r="C32" s="22" t="inlineStr">
        <is>
          <t>species</t>
        </is>
      </c>
      <c r="D32" s="22" t="inlineStr">
        <is>
          <t>multiple diseases (meta-analysis)</t>
        </is>
      </c>
      <c r="E32" s="17" t="inlineStr">
        <is>
          <t>increased</t>
        </is>
      </c>
      <c r="F32" s="22" t="inlineStr">
        <is>
          <t>disease_vs_control</t>
        </is>
      </c>
      <c r="G32" s="22" t="inlineStr">
        <is>
          <t>fecal</t>
        </is>
      </c>
      <c r="H32" s="22" t="inlineStr"/>
      <c r="I32" s="22" t="inlineStr">
        <is>
          <t>high</t>
        </is>
      </c>
      <c r="J32" s="23" t="inlineStr">
        <is>
          <t>verified</t>
        </is>
      </c>
      <c r="K32" s="23" t="inlineStr">
        <is>
          <t>keep</t>
        </is>
      </c>
      <c r="L32" s="24" t="inlineStr">
        <is>
          <t>the overgrowth of Streptococcus (containing S. anginosus, S. constellatus, S. gallolyticus, S. gordonii, S. infantis, S. mutans, S. oralis, and S. parasanguinis)...have previously been found in many diseases</t>
        </is>
      </c>
      <c r="M32" s="20" t="inlineStr"/>
      <c r="N32" s="21" t="inlineStr"/>
      <c r="O32" s="21" t="inlineStr"/>
    </row>
    <row r="33" ht="20" customHeight="1">
      <c r="A33" s="16" t="inlineStr">
        <is>
          <t>Streptococcus oralis</t>
        </is>
      </c>
      <c r="B33" s="16" t="inlineStr">
        <is>
          <t>bacteria</t>
        </is>
      </c>
      <c r="C33" s="16" t="inlineStr">
        <is>
          <t>species</t>
        </is>
      </c>
      <c r="D33" s="16" t="inlineStr">
        <is>
          <t>multiple diseases (meta-analysis)</t>
        </is>
      </c>
      <c r="E33" s="17" t="inlineStr">
        <is>
          <t>increased</t>
        </is>
      </c>
      <c r="F33" s="16" t="inlineStr">
        <is>
          <t>disease_vs_control</t>
        </is>
      </c>
      <c r="G33" s="16" t="inlineStr">
        <is>
          <t>fecal</t>
        </is>
      </c>
      <c r="H33" s="16" t="inlineStr"/>
      <c r="I33" s="16" t="inlineStr">
        <is>
          <t>high</t>
        </is>
      </c>
      <c r="J33" s="18" t="inlineStr">
        <is>
          <t>verified</t>
        </is>
      </c>
      <c r="K33" s="18" t="inlineStr">
        <is>
          <t>keep</t>
        </is>
      </c>
      <c r="L33" s="19" t="inlineStr">
        <is>
          <t>the overgrowth of Streptococcus (containing S. anginosus, S. constellatus, S. gallolyticus, S. gordonii, S. infantis, S. mutans, S. oralis, and S. parasanguinis)...have previously been found in many diseases</t>
        </is>
      </c>
      <c r="M33" s="20" t="inlineStr"/>
      <c r="N33" s="21" t="inlineStr"/>
      <c r="O33" s="21" t="inlineStr"/>
    </row>
    <row r="34" ht="20" customHeight="1">
      <c r="A34" s="22" t="inlineStr">
        <is>
          <t>Streptococcus parasanguinis</t>
        </is>
      </c>
      <c r="B34" s="22" t="inlineStr">
        <is>
          <t>bacteria</t>
        </is>
      </c>
      <c r="C34" s="22" t="inlineStr">
        <is>
          <t>species</t>
        </is>
      </c>
      <c r="D34" s="22" t="inlineStr">
        <is>
          <t>multiple diseases (meta-analysis)</t>
        </is>
      </c>
      <c r="E34" s="17" t="inlineStr">
        <is>
          <t>increased</t>
        </is>
      </c>
      <c r="F34" s="22" t="inlineStr">
        <is>
          <t>disease_vs_control</t>
        </is>
      </c>
      <c r="G34" s="22" t="inlineStr">
        <is>
          <t>fecal</t>
        </is>
      </c>
      <c r="H34" s="22" t="inlineStr"/>
      <c r="I34" s="22" t="inlineStr">
        <is>
          <t>high</t>
        </is>
      </c>
      <c r="J34" s="23" t="inlineStr">
        <is>
          <t>verified</t>
        </is>
      </c>
      <c r="K34" s="23" t="inlineStr">
        <is>
          <t>keep</t>
        </is>
      </c>
      <c r="L34" s="24" t="inlineStr">
        <is>
          <t>the overgrowth of Streptococcus (containing S. anginosus, S. constellatus, S. gallolyticus, S. gordonii, S. infantis, S. mutans, S. oralis, and S. parasanguinis)...have previously been found in many diseases</t>
        </is>
      </c>
      <c r="M34" s="20" t="inlineStr"/>
      <c r="N34" s="21" t="inlineStr"/>
      <c r="O34" s="21" t="inlineStr"/>
    </row>
    <row r="35" ht="20" customHeight="1">
      <c r="A35" s="16" t="inlineStr">
        <is>
          <t>Enterocloster aldensis</t>
        </is>
      </c>
      <c r="B35" s="16" t="inlineStr">
        <is>
          <t>bacteria</t>
        </is>
      </c>
      <c r="C35" s="16" t="inlineStr">
        <is>
          <t>species</t>
        </is>
      </c>
      <c r="D35" s="16" t="inlineStr">
        <is>
          <t>multiple diseases (meta-analysis)</t>
        </is>
      </c>
      <c r="E35" s="17" t="inlineStr">
        <is>
          <t>increased</t>
        </is>
      </c>
      <c r="F35" s="16" t="inlineStr">
        <is>
          <t>disease_vs_control</t>
        </is>
      </c>
      <c r="G35" s="16" t="inlineStr">
        <is>
          <t>fecal</t>
        </is>
      </c>
      <c r="H35" s="16" t="inlineStr"/>
      <c r="I35" s="16" t="inlineStr">
        <is>
          <t>high</t>
        </is>
      </c>
      <c r="J35" s="18" t="inlineStr">
        <is>
          <t>verified</t>
        </is>
      </c>
      <c r="K35" s="18" t="inlineStr">
        <is>
          <t>keep</t>
        </is>
      </c>
      <c r="L35" s="19" t="inlineStr">
        <is>
          <t>Enterocloster (e.g., E. aldensis, E. bolteae, E. citroniae, and E. clostridioformis)...have previously been found in many diseases</t>
        </is>
      </c>
      <c r="M35" s="20" t="inlineStr"/>
      <c r="N35" s="21" t="inlineStr"/>
      <c r="O35" s="21" t="inlineStr"/>
    </row>
    <row r="36" ht="20" customHeight="1">
      <c r="A36" s="22" t="inlineStr">
        <is>
          <t>Enterocloster bolteae</t>
        </is>
      </c>
      <c r="B36" s="22" t="inlineStr">
        <is>
          <t>bacteria</t>
        </is>
      </c>
      <c r="C36" s="22" t="inlineStr">
        <is>
          <t>species</t>
        </is>
      </c>
      <c r="D36" s="22" t="inlineStr">
        <is>
          <t>multiple diseases (meta-analysis)</t>
        </is>
      </c>
      <c r="E36" s="17" t="inlineStr">
        <is>
          <t>increased</t>
        </is>
      </c>
      <c r="F36" s="22" t="inlineStr">
        <is>
          <t>disease_vs_control</t>
        </is>
      </c>
      <c r="G36" s="22" t="inlineStr">
        <is>
          <t>fecal</t>
        </is>
      </c>
      <c r="H36" s="22" t="inlineStr"/>
      <c r="I36" s="22" t="inlineStr">
        <is>
          <t>high</t>
        </is>
      </c>
      <c r="J36" s="23" t="inlineStr">
        <is>
          <t>verified</t>
        </is>
      </c>
      <c r="K36" s="23" t="inlineStr">
        <is>
          <t>keep</t>
        </is>
      </c>
      <c r="L36" s="24" t="inlineStr">
        <is>
          <t>Enterocloster (e.g., E. aldensis, E. bolteae, E. citroniae, and E. clostridioformis)...have previously been found in many diseases</t>
        </is>
      </c>
      <c r="M36" s="20" t="inlineStr"/>
      <c r="N36" s="21" t="inlineStr"/>
      <c r="O36" s="21" t="inlineStr"/>
    </row>
    <row r="37" ht="20" customHeight="1">
      <c r="A37" s="16" t="inlineStr">
        <is>
          <t>Enterocloster citroniae</t>
        </is>
      </c>
      <c r="B37" s="16" t="inlineStr">
        <is>
          <t>bacteria</t>
        </is>
      </c>
      <c r="C37" s="16" t="inlineStr">
        <is>
          <t>species</t>
        </is>
      </c>
      <c r="D37" s="16" t="inlineStr">
        <is>
          <t>multiple diseases (meta-analysis)</t>
        </is>
      </c>
      <c r="E37" s="17" t="inlineStr">
        <is>
          <t>increased</t>
        </is>
      </c>
      <c r="F37" s="16" t="inlineStr">
        <is>
          <t>disease_vs_control</t>
        </is>
      </c>
      <c r="G37" s="16" t="inlineStr">
        <is>
          <t>fecal</t>
        </is>
      </c>
      <c r="H37" s="16" t="inlineStr"/>
      <c r="I37" s="16" t="inlineStr">
        <is>
          <t>high</t>
        </is>
      </c>
      <c r="J37" s="18" t="inlineStr">
        <is>
          <t>verified</t>
        </is>
      </c>
      <c r="K37" s="18" t="inlineStr">
        <is>
          <t>keep</t>
        </is>
      </c>
      <c r="L37" s="19" t="inlineStr">
        <is>
          <t>Enterocloster (e.g., E. aldensis, E. bolteae, E. citroniae, and E. clostridioformis)...have previously been found in many diseases</t>
        </is>
      </c>
      <c r="M37" s="20" t="inlineStr"/>
      <c r="N37" s="21" t="inlineStr"/>
      <c r="O37" s="21" t="inlineStr"/>
    </row>
    <row r="38" ht="20" customHeight="1">
      <c r="A38" s="22" t="inlineStr">
        <is>
          <t>Enterocloster clostridioformis</t>
        </is>
      </c>
      <c r="B38" s="22" t="inlineStr">
        <is>
          <t>bacteria</t>
        </is>
      </c>
      <c r="C38" s="22" t="inlineStr">
        <is>
          <t>species</t>
        </is>
      </c>
      <c r="D38" s="22" t="inlineStr">
        <is>
          <t>multiple diseases (meta-analysis)</t>
        </is>
      </c>
      <c r="E38" s="17" t="inlineStr">
        <is>
          <t>increased</t>
        </is>
      </c>
      <c r="F38" s="22" t="inlineStr">
        <is>
          <t>disease_vs_control</t>
        </is>
      </c>
      <c r="G38" s="22" t="inlineStr">
        <is>
          <t>fecal</t>
        </is>
      </c>
      <c r="H38" s="22" t="inlineStr"/>
      <c r="I38" s="22" t="inlineStr">
        <is>
          <t>high</t>
        </is>
      </c>
      <c r="J38" s="23" t="inlineStr">
        <is>
          <t>verified</t>
        </is>
      </c>
      <c r="K38" s="23" t="inlineStr">
        <is>
          <t>keep</t>
        </is>
      </c>
      <c r="L38" s="24" t="inlineStr">
        <is>
          <t>Enterocloster (e.g., E. aldensis, E. bolteae, E. citroniae, and E. clostridioformis)...have previously been found in many diseases</t>
        </is>
      </c>
      <c r="M38" s="20" t="inlineStr"/>
      <c r="N38" s="21" t="inlineStr"/>
      <c r="O38" s="21" t="inlineStr"/>
    </row>
    <row r="39" ht="20" customHeight="1">
      <c r="A39" s="16" t="inlineStr">
        <is>
          <t>Escherichia coli</t>
        </is>
      </c>
      <c r="B39" s="16" t="inlineStr">
        <is>
          <t>bacteria</t>
        </is>
      </c>
      <c r="C39" s="16" t="inlineStr">
        <is>
          <t>species</t>
        </is>
      </c>
      <c r="D39" s="16" t="inlineStr">
        <is>
          <t>multiple diseases (meta-analysis)</t>
        </is>
      </c>
      <c r="E39" s="17" t="inlineStr">
        <is>
          <t>increased</t>
        </is>
      </c>
      <c r="F39" s="16" t="inlineStr">
        <is>
          <t>disease_vs_control</t>
        </is>
      </c>
      <c r="G39" s="16" t="inlineStr">
        <is>
          <t>fecal</t>
        </is>
      </c>
      <c r="H39" s="16" t="inlineStr"/>
      <c r="I39" s="16" t="inlineStr">
        <is>
          <t>high</t>
        </is>
      </c>
      <c r="J39" s="18" t="inlineStr">
        <is>
          <t>verified</t>
        </is>
      </c>
      <c r="K39" s="18" t="inlineStr">
        <is>
          <t>keep</t>
        </is>
      </c>
      <c r="L39" s="19" t="inlineStr">
        <is>
          <t>the overgrowth of Streptococcus...Enterocloster...Escherichia coli, and Erysipelatoclostridium ramosum have previously been found in many diseases</t>
        </is>
      </c>
      <c r="M39" s="20" t="inlineStr"/>
      <c r="N39" s="21" t="inlineStr"/>
      <c r="O39" s="21" t="inlineStr"/>
    </row>
    <row r="40" ht="20" customHeight="1">
      <c r="A40" s="22" t="inlineStr">
        <is>
          <t>Erysipelatoclostridium ramosum</t>
        </is>
      </c>
      <c r="B40" s="22" t="inlineStr">
        <is>
          <t>bacteria</t>
        </is>
      </c>
      <c r="C40" s="22" t="inlineStr">
        <is>
          <t>species</t>
        </is>
      </c>
      <c r="D40" s="22" t="inlineStr">
        <is>
          <t>multiple diseases (meta-analysis)</t>
        </is>
      </c>
      <c r="E40" s="17" t="inlineStr">
        <is>
          <t>increased</t>
        </is>
      </c>
      <c r="F40" s="22" t="inlineStr">
        <is>
          <t>disease_vs_control</t>
        </is>
      </c>
      <c r="G40" s="22" t="inlineStr">
        <is>
          <t>fecal</t>
        </is>
      </c>
      <c r="H40" s="22" t="inlineStr"/>
      <c r="I40" s="22" t="inlineStr">
        <is>
          <t>high</t>
        </is>
      </c>
      <c r="J40" s="23" t="inlineStr">
        <is>
          <t>verified</t>
        </is>
      </c>
      <c r="K40" s="23" t="inlineStr">
        <is>
          <t>keep</t>
        </is>
      </c>
      <c r="L40" s="24" t="inlineStr">
        <is>
          <t>Escherichia coli, and Erysipelatoclostridium ramosum have previously been found in many diseases...opportunistic pathogens (e.g., Erysipelatoclostridium ramosum, Ruminococcus gnavus, Peptostreptococcus stomatis...)</t>
        </is>
      </c>
      <c r="M40" s="20" t="inlineStr"/>
      <c r="N40" s="21" t="inlineStr"/>
      <c r="O40" s="21" t="inlineStr"/>
    </row>
    <row r="41" ht="20" customHeight="1">
      <c r="A41" s="16" t="inlineStr">
        <is>
          <t>Fusobacterium mortiferum</t>
        </is>
      </c>
      <c r="B41" s="16" t="inlineStr">
        <is>
          <t>bacteria</t>
        </is>
      </c>
      <c r="C41" s="16" t="inlineStr">
        <is>
          <t>species</t>
        </is>
      </c>
      <c r="D41" s="16" t="inlineStr">
        <is>
          <t>colorectal cancer</t>
        </is>
      </c>
      <c r="E41" s="17" t="inlineStr">
        <is>
          <t>increased</t>
        </is>
      </c>
      <c r="F41" s="16" t="inlineStr">
        <is>
          <t>disease_vs_control</t>
        </is>
      </c>
      <c r="G41" s="16" t="inlineStr">
        <is>
          <t>fecal</t>
        </is>
      </c>
      <c r="H41" s="16" t="inlineStr"/>
      <c r="I41" s="16" t="inlineStr">
        <is>
          <t>high</t>
        </is>
      </c>
      <c r="J41" s="18" t="inlineStr">
        <is>
          <t>verified</t>
        </is>
      </c>
      <c r="K41" s="18" t="inlineStr">
        <is>
          <t>keep</t>
        </is>
      </c>
      <c r="L41" s="19" t="inlineStr">
        <is>
          <t>Members of Fusobacterium (including F. mortiferum, F. nucleatum, F. pseudoperiodonticum, F. ulcerans, and F. varium) and Hungatella hathewayi are typical bacteria associated with colorectal cancer (CRC)</t>
        </is>
      </c>
      <c r="M41" s="20" t="inlineStr"/>
      <c r="N41" s="21" t="inlineStr"/>
      <c r="O41" s="21" t="inlineStr"/>
    </row>
    <row r="42" ht="20" customHeight="1">
      <c r="A42" s="22" t="inlineStr">
        <is>
          <t>Fusobacterium nucleatum</t>
        </is>
      </c>
      <c r="B42" s="22" t="inlineStr">
        <is>
          <t>bacteria</t>
        </is>
      </c>
      <c r="C42" s="22" t="inlineStr">
        <is>
          <t>species</t>
        </is>
      </c>
      <c r="D42" s="22" t="inlineStr">
        <is>
          <t>colorectal cancer</t>
        </is>
      </c>
      <c r="E42" s="17" t="inlineStr">
        <is>
          <t>increased</t>
        </is>
      </c>
      <c r="F42" s="22" t="inlineStr">
        <is>
          <t>disease_vs_control</t>
        </is>
      </c>
      <c r="G42" s="22" t="inlineStr">
        <is>
          <t>fecal</t>
        </is>
      </c>
      <c r="H42" s="22" t="inlineStr"/>
      <c r="I42" s="22" t="inlineStr">
        <is>
          <t>high</t>
        </is>
      </c>
      <c r="J42" s="23" t="inlineStr">
        <is>
          <t>verified</t>
        </is>
      </c>
      <c r="K42" s="23" t="inlineStr">
        <is>
          <t>keep</t>
        </is>
      </c>
      <c r="L42" s="24" t="inlineStr">
        <is>
          <t>Members of Fusobacterium (including F. mortiferum, F. nucleatum, F. pseudoperiodonticum, F. ulcerans, and F. varium) and Hungatella hathewayi are typical bacteria associated with colorectal cancer (CRC)</t>
        </is>
      </c>
      <c r="M42" s="20" t="inlineStr"/>
      <c r="N42" s="21" t="inlineStr"/>
      <c r="O42" s="21" t="inlineStr"/>
    </row>
    <row r="43" ht="20" customHeight="1">
      <c r="A43" s="16" t="inlineStr">
        <is>
          <t>Fusobacterium pseudoperiodonticum</t>
        </is>
      </c>
      <c r="B43" s="16" t="inlineStr">
        <is>
          <t>bacteria</t>
        </is>
      </c>
      <c r="C43" s="16" t="inlineStr">
        <is>
          <t>species</t>
        </is>
      </c>
      <c r="D43" s="16" t="inlineStr">
        <is>
          <t>colorectal cancer</t>
        </is>
      </c>
      <c r="E43" s="17" t="inlineStr">
        <is>
          <t>increased</t>
        </is>
      </c>
      <c r="F43" s="16" t="inlineStr">
        <is>
          <t>disease_vs_control</t>
        </is>
      </c>
      <c r="G43" s="16" t="inlineStr">
        <is>
          <t>fecal</t>
        </is>
      </c>
      <c r="H43" s="16" t="inlineStr"/>
      <c r="I43" s="16" t="inlineStr">
        <is>
          <t>high</t>
        </is>
      </c>
      <c r="J43" s="18" t="inlineStr">
        <is>
          <t>verified</t>
        </is>
      </c>
      <c r="K43" s="18" t="inlineStr">
        <is>
          <t>keep</t>
        </is>
      </c>
      <c r="L43" s="19" t="inlineStr">
        <is>
          <t>Members of Fusobacterium (including F. mortiferum, F. nucleatum, F. pseudoperiodonticum, F. ulcerans, and F. varium) and Hungatella hathewayi are typical bacteria associated with colorectal cancer (CRC)</t>
        </is>
      </c>
      <c r="M43" s="20" t="inlineStr"/>
      <c r="N43" s="21" t="inlineStr"/>
      <c r="O43" s="21" t="inlineStr"/>
    </row>
    <row r="44" ht="20" customHeight="1">
      <c r="A44" s="22" t="inlineStr">
        <is>
          <t>Fusobacterium ulcerans</t>
        </is>
      </c>
      <c r="B44" s="22" t="inlineStr">
        <is>
          <t>bacteria</t>
        </is>
      </c>
      <c r="C44" s="22" t="inlineStr">
        <is>
          <t>species</t>
        </is>
      </c>
      <c r="D44" s="22" t="inlineStr">
        <is>
          <t>colorectal cancer</t>
        </is>
      </c>
      <c r="E44" s="17" t="inlineStr">
        <is>
          <t>increased</t>
        </is>
      </c>
      <c r="F44" s="22" t="inlineStr">
        <is>
          <t>disease_vs_control</t>
        </is>
      </c>
      <c r="G44" s="22" t="inlineStr">
        <is>
          <t>fecal</t>
        </is>
      </c>
      <c r="H44" s="22" t="inlineStr"/>
      <c r="I44" s="22" t="inlineStr">
        <is>
          <t>high</t>
        </is>
      </c>
      <c r="J44" s="23" t="inlineStr">
        <is>
          <t>verified</t>
        </is>
      </c>
      <c r="K44" s="23" t="inlineStr">
        <is>
          <t>keep</t>
        </is>
      </c>
      <c r="L44" s="24" t="inlineStr">
        <is>
          <t>Members of Fusobacterium (including F. mortiferum, F. nucleatum, F. pseudoperiodonticum, F. ulcerans, and F. varium) and Hungatella hathewayi are typical bacteria associated with colorectal cancer (CRC)</t>
        </is>
      </c>
      <c r="M44" s="20" t="inlineStr"/>
      <c r="N44" s="21" t="inlineStr"/>
      <c r="O44" s="21" t="inlineStr"/>
    </row>
    <row r="45" ht="20" customHeight="1">
      <c r="A45" s="16" t="inlineStr">
        <is>
          <t>Fusobacterium varium</t>
        </is>
      </c>
      <c r="B45" s="16" t="inlineStr">
        <is>
          <t>bacteria</t>
        </is>
      </c>
      <c r="C45" s="16" t="inlineStr">
        <is>
          <t>species</t>
        </is>
      </c>
      <c r="D45" s="16" t="inlineStr">
        <is>
          <t>colorectal cancer</t>
        </is>
      </c>
      <c r="E45" s="17" t="inlineStr">
        <is>
          <t>increased</t>
        </is>
      </c>
      <c r="F45" s="16" t="inlineStr">
        <is>
          <t>disease_vs_control</t>
        </is>
      </c>
      <c r="G45" s="16" t="inlineStr">
        <is>
          <t>fecal</t>
        </is>
      </c>
      <c r="H45" s="16" t="inlineStr"/>
      <c r="I45" s="16" t="inlineStr">
        <is>
          <t>high</t>
        </is>
      </c>
      <c r="J45" s="18" t="inlineStr">
        <is>
          <t>verified</t>
        </is>
      </c>
      <c r="K45" s="18" t="inlineStr">
        <is>
          <t>keep</t>
        </is>
      </c>
      <c r="L45" s="19" t="inlineStr">
        <is>
          <t>Members of Fusobacterium (including F. mortiferum, F. nucleatum, F. pseudoperiodonticum, F. ulcerans, and F. varium) and Hungatella hathewayi are typical bacteria associated with colorectal cancer (CRC)</t>
        </is>
      </c>
      <c r="M45" s="20" t="inlineStr"/>
      <c r="N45" s="21" t="inlineStr"/>
      <c r="O45" s="21" t="inlineStr"/>
    </row>
    <row r="46" ht="20" customHeight="1">
      <c r="A46" s="22" t="inlineStr">
        <is>
          <t>Hungatella hathewayi</t>
        </is>
      </c>
      <c r="B46" s="22" t="inlineStr">
        <is>
          <t>bacteria</t>
        </is>
      </c>
      <c r="C46" s="22" t="inlineStr">
        <is>
          <t>species</t>
        </is>
      </c>
      <c r="D46" s="22" t="inlineStr">
        <is>
          <t>colorectal cancer</t>
        </is>
      </c>
      <c r="E46" s="17" t="inlineStr">
        <is>
          <t>increased</t>
        </is>
      </c>
      <c r="F46" s="22" t="inlineStr">
        <is>
          <t>disease_vs_control</t>
        </is>
      </c>
      <c r="G46" s="22" t="inlineStr">
        <is>
          <t>fecal</t>
        </is>
      </c>
      <c r="H46" s="22" t="inlineStr"/>
      <c r="I46" s="22" t="inlineStr">
        <is>
          <t>high</t>
        </is>
      </c>
      <c r="J46" s="23" t="inlineStr">
        <is>
          <t>verified</t>
        </is>
      </c>
      <c r="K46" s="23" t="inlineStr">
        <is>
          <t>keep</t>
        </is>
      </c>
      <c r="L46" s="24" t="inlineStr">
        <is>
          <t>Members of Fusobacterium (including F. mortiferum, F. nucleatum, F. pseudoperiodonticum, F. ulcerans, and F. varium) and Hungatella hathewayi are typical bacteria associated with colorectal cancer (CRC)</t>
        </is>
      </c>
      <c r="M46" s="20" t="inlineStr"/>
      <c r="N46" s="21" t="inlineStr"/>
      <c r="O46" s="21" t="inlineStr"/>
    </row>
    <row r="47" ht="20" customHeight="1">
      <c r="A47" s="16" t="inlineStr">
        <is>
          <t>Eggerthella lenta</t>
        </is>
      </c>
      <c r="B47" s="16" t="inlineStr">
        <is>
          <t>bacteria</t>
        </is>
      </c>
      <c r="C47" s="16" t="inlineStr">
        <is>
          <t>species</t>
        </is>
      </c>
      <c r="D47" s="16" t="inlineStr">
        <is>
          <t>end-stage renal disease</t>
        </is>
      </c>
      <c r="E47" s="17" t="inlineStr">
        <is>
          <t>increased</t>
        </is>
      </c>
      <c r="F47" s="16" t="inlineStr">
        <is>
          <t>disease_vs_control</t>
        </is>
      </c>
      <c r="G47" s="16" t="inlineStr">
        <is>
          <t>fecal</t>
        </is>
      </c>
      <c r="H47" s="16" t="inlineStr"/>
      <c r="I47" s="16" t="inlineStr">
        <is>
          <t>high</t>
        </is>
      </c>
      <c r="J47" s="18" t="inlineStr">
        <is>
          <t>verified</t>
        </is>
      </c>
      <c r="K47" s="18" t="inlineStr">
        <is>
          <t>keep</t>
        </is>
      </c>
      <c r="L47" s="19" t="inlineStr">
        <is>
          <t>Eggerthella lenta and Flavonifractor plautii were reported to be enriched in end-stage renal disease (ESRD) patients with uremic toxin-producing effects</t>
        </is>
      </c>
      <c r="M47" s="20" t="inlineStr"/>
      <c r="N47" s="21" t="inlineStr"/>
      <c r="O47" s="21" t="inlineStr"/>
    </row>
    <row r="48" ht="20" customHeight="1">
      <c r="A48" s="22" t="inlineStr">
        <is>
          <t>Flavonifractor plautii</t>
        </is>
      </c>
      <c r="B48" s="22" t="inlineStr">
        <is>
          <t>bacteria</t>
        </is>
      </c>
      <c r="C48" s="22" t="inlineStr">
        <is>
          <t>species</t>
        </is>
      </c>
      <c r="D48" s="22" t="inlineStr">
        <is>
          <t>end-stage renal disease</t>
        </is>
      </c>
      <c r="E48" s="17" t="inlineStr">
        <is>
          <t>increased</t>
        </is>
      </c>
      <c r="F48" s="22" t="inlineStr">
        <is>
          <t>disease_vs_control</t>
        </is>
      </c>
      <c r="G48" s="22" t="inlineStr">
        <is>
          <t>fecal</t>
        </is>
      </c>
      <c r="H48" s="22" t="inlineStr"/>
      <c r="I48" s="22" t="inlineStr">
        <is>
          <t>high</t>
        </is>
      </c>
      <c r="J48" s="23" t="inlineStr">
        <is>
          <t>verified</t>
        </is>
      </c>
      <c r="K48" s="23" t="inlineStr">
        <is>
          <t>keep</t>
        </is>
      </c>
      <c r="L48" s="24" t="inlineStr">
        <is>
          <t>Eggerthella lenta and Flavonifractor plautii were reported to be enriched in end-stage renal disease (ESRD) patients with uremic toxin-producing effects</t>
        </is>
      </c>
      <c r="M48" s="20" t="inlineStr"/>
      <c r="N48" s="21" t="inlineStr"/>
      <c r="O48" s="21" t="inlineStr"/>
    </row>
    <row r="49" ht="20" customHeight="1">
      <c r="A49" s="16" t="inlineStr">
        <is>
          <t>Lactobacillus amylovorus</t>
        </is>
      </c>
      <c r="B49" s="16" t="inlineStr">
        <is>
          <t>bacteria</t>
        </is>
      </c>
      <c r="C49" s="16" t="inlineStr">
        <is>
          <t>species</t>
        </is>
      </c>
      <c r="D49" s="16" t="inlineStr">
        <is>
          <t>multiple diseases (meta-analysis)</t>
        </is>
      </c>
      <c r="E49" s="17" t="inlineStr">
        <is>
          <t>increased</t>
        </is>
      </c>
      <c r="F49" s="16" t="inlineStr">
        <is>
          <t>disease_vs_control</t>
        </is>
      </c>
      <c r="G49" s="16" t="inlineStr">
        <is>
          <t>fecal</t>
        </is>
      </c>
      <c r="H49" s="16" t="inlineStr"/>
      <c r="I49" s="16" t="inlineStr">
        <is>
          <t>high</t>
        </is>
      </c>
      <c r="J49" s="18" t="inlineStr">
        <is>
          <t>verified</t>
        </is>
      </c>
      <c r="K49" s="18" t="inlineStr">
        <is>
          <t>keep</t>
        </is>
      </c>
      <c r="L49" s="19" t="inlineStr">
        <is>
          <t>several members of Lactobacillus, including L. amylovorus, L. crispatus, L. gasseri, and L. mucosae, were enriched in disease subjects</t>
        </is>
      </c>
      <c r="M49" s="20" t="inlineStr"/>
      <c r="N49" s="21" t="inlineStr"/>
      <c r="O49" s="21" t="inlineStr"/>
    </row>
    <row r="50" ht="20" customHeight="1">
      <c r="A50" s="22" t="inlineStr">
        <is>
          <t>Lactobacillus crispatus</t>
        </is>
      </c>
      <c r="B50" s="22" t="inlineStr">
        <is>
          <t>bacteria</t>
        </is>
      </c>
      <c r="C50" s="22" t="inlineStr">
        <is>
          <t>species</t>
        </is>
      </c>
      <c r="D50" s="22" t="inlineStr">
        <is>
          <t>multiple diseases (meta-analysis)</t>
        </is>
      </c>
      <c r="E50" s="17" t="inlineStr">
        <is>
          <t>increased</t>
        </is>
      </c>
      <c r="F50" s="22" t="inlineStr">
        <is>
          <t>disease_vs_control</t>
        </is>
      </c>
      <c r="G50" s="22" t="inlineStr">
        <is>
          <t>fecal</t>
        </is>
      </c>
      <c r="H50" s="22" t="inlineStr"/>
      <c r="I50" s="22" t="inlineStr">
        <is>
          <t>high</t>
        </is>
      </c>
      <c r="J50" s="23" t="inlineStr">
        <is>
          <t>verified</t>
        </is>
      </c>
      <c r="K50" s="23" t="inlineStr">
        <is>
          <t>keep</t>
        </is>
      </c>
      <c r="L50" s="24" t="inlineStr">
        <is>
          <t>several members of Lactobacillus, including L. amylovorus, L. crispatus, L. gasseri, and L. mucosae, were enriched in disease subjects</t>
        </is>
      </c>
      <c r="M50" s="20" t="inlineStr"/>
      <c r="N50" s="21" t="inlineStr"/>
      <c r="O50" s="21" t="inlineStr"/>
    </row>
    <row r="51" ht="20" customHeight="1">
      <c r="A51" s="16" t="inlineStr">
        <is>
          <t>Lactobacillus gasseri</t>
        </is>
      </c>
      <c r="B51" s="16" t="inlineStr">
        <is>
          <t>bacteria</t>
        </is>
      </c>
      <c r="C51" s="16" t="inlineStr">
        <is>
          <t>species</t>
        </is>
      </c>
      <c r="D51" s="16" t="inlineStr">
        <is>
          <t>multiple diseases (meta-analysis)</t>
        </is>
      </c>
      <c r="E51" s="17" t="inlineStr">
        <is>
          <t>increased</t>
        </is>
      </c>
      <c r="F51" s="16" t="inlineStr">
        <is>
          <t>disease_vs_control</t>
        </is>
      </c>
      <c r="G51" s="16" t="inlineStr">
        <is>
          <t>fecal</t>
        </is>
      </c>
      <c r="H51" s="16" t="inlineStr"/>
      <c r="I51" s="16" t="inlineStr">
        <is>
          <t>high</t>
        </is>
      </c>
      <c r="J51" s="18" t="inlineStr">
        <is>
          <t>verified</t>
        </is>
      </c>
      <c r="K51" s="18" t="inlineStr">
        <is>
          <t>keep</t>
        </is>
      </c>
      <c r="L51" s="19" t="inlineStr">
        <is>
          <t>several members of Lactobacillus, including L. amylovorus, L. crispatus, L. gasseri, and L. mucosae, were enriched in disease subjects</t>
        </is>
      </c>
      <c r="M51" s="20" t="inlineStr"/>
      <c r="N51" s="21" t="inlineStr"/>
      <c r="O51" s="21" t="inlineStr"/>
    </row>
    <row r="52" ht="20" customHeight="1">
      <c r="A52" s="22" t="inlineStr">
        <is>
          <t>Lactobacillus mucosae</t>
        </is>
      </c>
      <c r="B52" s="22" t="inlineStr">
        <is>
          <t>bacteria</t>
        </is>
      </c>
      <c r="C52" s="22" t="inlineStr">
        <is>
          <t>species</t>
        </is>
      </c>
      <c r="D52" s="22" t="inlineStr">
        <is>
          <t>multiple diseases (meta-analysis)</t>
        </is>
      </c>
      <c r="E52" s="17" t="inlineStr">
        <is>
          <t>increased</t>
        </is>
      </c>
      <c r="F52" s="22" t="inlineStr">
        <is>
          <t>disease_vs_control</t>
        </is>
      </c>
      <c r="G52" s="22" t="inlineStr">
        <is>
          <t>fecal</t>
        </is>
      </c>
      <c r="H52" s="22" t="inlineStr"/>
      <c r="I52" s="22" t="inlineStr">
        <is>
          <t>high</t>
        </is>
      </c>
      <c r="J52" s="23" t="inlineStr">
        <is>
          <t>verified</t>
        </is>
      </c>
      <c r="K52" s="23" t="inlineStr">
        <is>
          <t>keep</t>
        </is>
      </c>
      <c r="L52" s="24" t="inlineStr">
        <is>
          <t>several members of Lactobacillus, including L. amylovorus, L. crispatus, L. gasseri, and L. mucosae, were enriched in disease subjects</t>
        </is>
      </c>
      <c r="M52" s="20" t="inlineStr"/>
      <c r="N52" s="21" t="inlineStr"/>
      <c r="O52" s="21" t="inlineStr"/>
    </row>
    <row r="53" ht="20" customHeight="1">
      <c r="A53" s="16" t="inlineStr">
        <is>
          <t>Parabacteroides distasonis</t>
        </is>
      </c>
      <c r="B53" s="16" t="inlineStr">
        <is>
          <t>bacteria</t>
        </is>
      </c>
      <c r="C53" s="16" t="inlineStr">
        <is>
          <t>species</t>
        </is>
      </c>
      <c r="D53" s="16" t="inlineStr">
        <is>
          <t>gout</t>
        </is>
      </c>
      <c r="E53" s="17" t="inlineStr">
        <is>
          <t>increased</t>
        </is>
      </c>
      <c r="F53" s="16" t="inlineStr">
        <is>
          <t>disease_vs_control</t>
        </is>
      </c>
      <c r="G53" s="16" t="inlineStr">
        <is>
          <t>fecal</t>
        </is>
      </c>
      <c r="H53" s="16" t="inlineStr"/>
      <c r="I53" s="16" t="inlineStr">
        <is>
          <t>medium</t>
        </is>
      </c>
      <c r="J53" s="18" t="inlineStr">
        <is>
          <t>verified</t>
        </is>
      </c>
      <c r="K53" s="18" t="inlineStr">
        <is>
          <t>keep</t>
        </is>
      </c>
      <c r="L53" s="19" t="inlineStr">
        <is>
          <t>the gut microbiota of gout patients showed a marked decrease in the abundance of SCFA producers, but only a few harmful bacteria (e.g., Parabacteroides distasonis and Hungatella effluvii) were enriched</t>
        </is>
      </c>
      <c r="M53" s="20" t="inlineStr"/>
      <c r="N53" s="21" t="inlineStr"/>
      <c r="O53" s="21" t="inlineStr"/>
    </row>
    <row r="54" ht="20" customHeight="1">
      <c r="A54" s="22" t="inlineStr">
        <is>
          <t>Hungatella effluvii</t>
        </is>
      </c>
      <c r="B54" s="22" t="inlineStr">
        <is>
          <t>bacteria</t>
        </is>
      </c>
      <c r="C54" s="22" t="inlineStr">
        <is>
          <t>species</t>
        </is>
      </c>
      <c r="D54" s="22" t="inlineStr">
        <is>
          <t>gout</t>
        </is>
      </c>
      <c r="E54" s="17" t="inlineStr">
        <is>
          <t>increased</t>
        </is>
      </c>
      <c r="F54" s="22" t="inlineStr">
        <is>
          <t>disease_vs_control</t>
        </is>
      </c>
      <c r="G54" s="22" t="inlineStr">
        <is>
          <t>fecal</t>
        </is>
      </c>
      <c r="H54" s="22" t="inlineStr"/>
      <c r="I54" s="22" t="inlineStr">
        <is>
          <t>medium</t>
        </is>
      </c>
      <c r="J54" s="23" t="inlineStr">
        <is>
          <t>verified</t>
        </is>
      </c>
      <c r="K54" s="23" t="inlineStr">
        <is>
          <t>keep</t>
        </is>
      </c>
      <c r="L54" s="24" t="inlineStr">
        <is>
          <t>the gut microbiota of gout patients showed a marked decrease in the abundance of SCFA producers, but only a few harmful bacteria (e.g., Parabacteroides distasonis and Hungatella effluvii) were enriched</t>
        </is>
      </c>
      <c r="M54" s="20" t="inlineStr"/>
      <c r="N54" s="21" t="inlineStr"/>
      <c r="O54" s="21" t="inlineStr"/>
    </row>
    <row r="55" ht="20" customHeight="1">
      <c r="A55" s="16" t="inlineStr">
        <is>
          <t>Ligilactobacillus salivarius</t>
        </is>
      </c>
      <c r="B55" s="16" t="inlineStr">
        <is>
          <t>bacteria</t>
        </is>
      </c>
      <c r="C55" s="16" t="inlineStr">
        <is>
          <t>species</t>
        </is>
      </c>
      <c r="D55" s="16" t="inlineStr">
        <is>
          <t>multiple diseases (meta-analysis)</t>
        </is>
      </c>
      <c r="E55" s="17" t="inlineStr">
        <is>
          <t>increased</t>
        </is>
      </c>
      <c r="F55" s="16" t="inlineStr">
        <is>
          <t>disease_vs_control</t>
        </is>
      </c>
      <c r="G55" s="16" t="inlineStr">
        <is>
          <t>fecal</t>
        </is>
      </c>
      <c r="H55" s="16" t="inlineStr"/>
      <c r="I55" s="16" t="inlineStr">
        <is>
          <t>high</t>
        </is>
      </c>
      <c r="J55" s="18" t="inlineStr">
        <is>
          <t>verified</t>
        </is>
      </c>
      <c r="K55" s="18" t="inlineStr">
        <is>
          <t>keep</t>
        </is>
      </c>
      <c r="L55" s="19" t="inlineStr">
        <is>
          <t>some disease-enriched species, including Ligilactobacillus salivarius, Ruminococcus gnavus, Clostridium symbiosum, Streptococcus parasanguinis, Mediterraneibacter glycyrrhizinilyticus, Eggerthella lenta, Fusobacterium mortiferum, Blautia spp. (B. producta and B. hansenii), and Peptostreptococcus stomatis featured the highest scores for the discrimination of patients and healthy controls</t>
        </is>
      </c>
      <c r="M55" s="20" t="inlineStr"/>
      <c r="N55" s="21" t="inlineStr"/>
      <c r="O55" s="21" t="inlineStr"/>
    </row>
    <row r="56" ht="20" customHeight="1">
      <c r="A56" s="22" t="inlineStr">
        <is>
          <t>Ruminococcus gnavus</t>
        </is>
      </c>
      <c r="B56" s="22" t="inlineStr">
        <is>
          <t>bacteria</t>
        </is>
      </c>
      <c r="C56" s="22" t="inlineStr">
        <is>
          <t>species</t>
        </is>
      </c>
      <c r="D56" s="22" t="inlineStr">
        <is>
          <t>multiple diseases (meta-analysis)</t>
        </is>
      </c>
      <c r="E56" s="17" t="inlineStr">
        <is>
          <t>increased</t>
        </is>
      </c>
      <c r="F56" s="22" t="inlineStr">
        <is>
          <t>disease_vs_control</t>
        </is>
      </c>
      <c r="G56" s="22" t="inlineStr">
        <is>
          <t>fecal</t>
        </is>
      </c>
      <c r="H56" s="22" t="inlineStr"/>
      <c r="I56" s="22" t="inlineStr">
        <is>
          <t>high</t>
        </is>
      </c>
      <c r="J56" s="23" t="inlineStr">
        <is>
          <t>verified</t>
        </is>
      </c>
      <c r="K56" s="23" t="inlineStr">
        <is>
          <t>keep</t>
        </is>
      </c>
      <c r="L56" s="24" t="inlineStr">
        <is>
          <t>some disease-enriched species, including Ligilactobacillus salivarius, Ruminococcus gnavus...featured the highest scores for the discrimination of patients and healthy controls...opportunistic pathogens (e.g., Erysipelatoclostridium ramosum, Ruminococcus gnavus, Peptostreptococcus stomatis...)</t>
        </is>
      </c>
      <c r="M56" s="20" t="inlineStr"/>
      <c r="N56" s="21" t="inlineStr"/>
      <c r="O56" s="21" t="inlineStr"/>
    </row>
    <row r="57" ht="20" customHeight="1">
      <c r="A57" s="16" t="inlineStr">
        <is>
          <t>Clostridium symbiosum</t>
        </is>
      </c>
      <c r="B57" s="16" t="inlineStr">
        <is>
          <t>bacteria</t>
        </is>
      </c>
      <c r="C57" s="16" t="inlineStr">
        <is>
          <t>species</t>
        </is>
      </c>
      <c r="D57" s="16" t="inlineStr">
        <is>
          <t>multiple diseases (meta-analysis)</t>
        </is>
      </c>
      <c r="E57" s="17" t="inlineStr">
        <is>
          <t>increased</t>
        </is>
      </c>
      <c r="F57" s="16" t="inlineStr">
        <is>
          <t>disease_vs_control</t>
        </is>
      </c>
      <c r="G57" s="16" t="inlineStr">
        <is>
          <t>fecal</t>
        </is>
      </c>
      <c r="H57" s="16" t="inlineStr"/>
      <c r="I57" s="16" t="inlineStr">
        <is>
          <t>high</t>
        </is>
      </c>
      <c r="J57" s="18" t="inlineStr">
        <is>
          <t>verified</t>
        </is>
      </c>
      <c r="K57" s="18" t="inlineStr">
        <is>
          <t>keep</t>
        </is>
      </c>
      <c r="L57" s="19" t="inlineStr">
        <is>
          <t>some disease-enriched species, including Ligilactobacillus salivarius, Ruminococcus gnavus, Clostridium symbiosum, Streptococcus parasanguinis, Mediterraneibacter glycyrrhizinilyticus, Eggerthella lenta, Fusobacterium mortiferum, Blautia spp. (B. producta and B. hansenii), and Peptostreptococcus stomatis featured the highest scores for the discrimination of patients and healthy controls</t>
        </is>
      </c>
      <c r="M57" s="20" t="inlineStr"/>
      <c r="N57" s="21" t="inlineStr"/>
      <c r="O57" s="21" t="inlineStr"/>
    </row>
    <row r="58" ht="20" customHeight="1">
      <c r="A58" s="22" t="inlineStr">
        <is>
          <t>Mediterraneibacter glycyrrhizinilyticus</t>
        </is>
      </c>
      <c r="B58" s="22" t="inlineStr">
        <is>
          <t>bacteria</t>
        </is>
      </c>
      <c r="C58" s="22" t="inlineStr">
        <is>
          <t>species</t>
        </is>
      </c>
      <c r="D58" s="22" t="inlineStr">
        <is>
          <t>multiple diseases (meta-analysis)</t>
        </is>
      </c>
      <c r="E58" s="17" t="inlineStr">
        <is>
          <t>increased</t>
        </is>
      </c>
      <c r="F58" s="22" t="inlineStr">
        <is>
          <t>disease_vs_control</t>
        </is>
      </c>
      <c r="G58" s="22" t="inlineStr">
        <is>
          <t>fecal</t>
        </is>
      </c>
      <c r="H58" s="22" t="inlineStr"/>
      <c r="I58" s="22" t="inlineStr">
        <is>
          <t>high</t>
        </is>
      </c>
      <c r="J58" s="23" t="inlineStr">
        <is>
          <t>verified</t>
        </is>
      </c>
      <c r="K58" s="23" t="inlineStr">
        <is>
          <t>keep</t>
        </is>
      </c>
      <c r="L58" s="24" t="inlineStr">
        <is>
          <t>some disease-enriched species, including Ligilactobacillus salivarius, Ruminococcus gnavus, Clostridium symbiosum, Streptococcus parasanguinis, Mediterraneibacter glycyrrhizinilyticus, Eggerthella lenta, Fusobacterium mortiferum, Blautia spp. (B. producta and B. hansenii), and Peptostreptococcus stomatis featured the highest scores for the discrimination of patients and healthy controls</t>
        </is>
      </c>
      <c r="M58" s="20" t="inlineStr"/>
      <c r="N58" s="21" t="inlineStr"/>
      <c r="O58" s="21" t="inlineStr"/>
    </row>
    <row r="59" ht="20" customHeight="1">
      <c r="A59" s="16" t="inlineStr">
        <is>
          <t>Blautia producta</t>
        </is>
      </c>
      <c r="B59" s="16" t="inlineStr">
        <is>
          <t>bacteria</t>
        </is>
      </c>
      <c r="C59" s="16" t="inlineStr">
        <is>
          <t>species</t>
        </is>
      </c>
      <c r="D59" s="16" t="inlineStr">
        <is>
          <t>multiple diseases (meta-analysis)</t>
        </is>
      </c>
      <c r="E59" s="17" t="inlineStr">
        <is>
          <t>increased</t>
        </is>
      </c>
      <c r="F59" s="16" t="inlineStr">
        <is>
          <t>disease_vs_control</t>
        </is>
      </c>
      <c r="G59" s="16" t="inlineStr">
        <is>
          <t>fecal</t>
        </is>
      </c>
      <c r="H59" s="16" t="inlineStr"/>
      <c r="I59" s="16" t="inlineStr">
        <is>
          <t>high</t>
        </is>
      </c>
      <c r="J59" s="18" t="inlineStr">
        <is>
          <t>verified</t>
        </is>
      </c>
      <c r="K59" s="18" t="inlineStr">
        <is>
          <t>keep</t>
        </is>
      </c>
      <c r="L59" s="19" t="inlineStr">
        <is>
          <t>some disease-enriched species, including...Blautia spp. (B. producta and B. hansenii)...featured the highest scores for the discrimination of patients and healthy controls</t>
        </is>
      </c>
      <c r="M59" s="20" t="inlineStr"/>
      <c r="N59" s="21" t="inlineStr"/>
      <c r="O59" s="21" t="inlineStr"/>
    </row>
    <row r="60" ht="20" customHeight="1">
      <c r="A60" s="22" t="inlineStr">
        <is>
          <t>Blautia hansenii</t>
        </is>
      </c>
      <c r="B60" s="22" t="inlineStr">
        <is>
          <t>bacteria</t>
        </is>
      </c>
      <c r="C60" s="22" t="inlineStr">
        <is>
          <t>species</t>
        </is>
      </c>
      <c r="D60" s="22" t="inlineStr">
        <is>
          <t>multiple diseases (meta-analysis)</t>
        </is>
      </c>
      <c r="E60" s="17" t="inlineStr">
        <is>
          <t>increased</t>
        </is>
      </c>
      <c r="F60" s="22" t="inlineStr">
        <is>
          <t>disease_vs_control</t>
        </is>
      </c>
      <c r="G60" s="22" t="inlineStr">
        <is>
          <t>fecal</t>
        </is>
      </c>
      <c r="H60" s="22" t="inlineStr"/>
      <c r="I60" s="22" t="inlineStr">
        <is>
          <t>high</t>
        </is>
      </c>
      <c r="J60" s="23" t="inlineStr">
        <is>
          <t>verified</t>
        </is>
      </c>
      <c r="K60" s="23" t="inlineStr">
        <is>
          <t>keep</t>
        </is>
      </c>
      <c r="L60" s="24" t="inlineStr">
        <is>
          <t>some disease-enriched species, including...Blautia spp. (B. producta and B. hansenii)...featured the highest scores for the discrimination of patients and healthy controls</t>
        </is>
      </c>
      <c r="M60" s="20" t="inlineStr"/>
      <c r="N60" s="21" t="inlineStr"/>
      <c r="O60" s="21" t="inlineStr"/>
    </row>
    <row r="61" ht="20" customHeight="1">
      <c r="A61" s="16" t="inlineStr">
        <is>
          <t>Peptostreptococcus stomatis</t>
        </is>
      </c>
      <c r="B61" s="16" t="inlineStr">
        <is>
          <t>bacteria</t>
        </is>
      </c>
      <c r="C61" s="16" t="inlineStr">
        <is>
          <t>species</t>
        </is>
      </c>
      <c r="D61" s="16" t="inlineStr">
        <is>
          <t>multiple diseases (meta-analysis)</t>
        </is>
      </c>
      <c r="E61" s="17" t="inlineStr">
        <is>
          <t>increased</t>
        </is>
      </c>
      <c r="F61" s="16" t="inlineStr">
        <is>
          <t>disease_vs_control</t>
        </is>
      </c>
      <c r="G61" s="16" t="inlineStr">
        <is>
          <t>fecal</t>
        </is>
      </c>
      <c r="H61" s="16" t="inlineStr"/>
      <c r="I61" s="16" t="inlineStr">
        <is>
          <t>high</t>
        </is>
      </c>
      <c r="J61" s="18" t="inlineStr">
        <is>
          <t>verified</t>
        </is>
      </c>
      <c r="K61" s="18" t="inlineStr">
        <is>
          <t>keep</t>
        </is>
      </c>
      <c r="L61" s="19" t="inlineStr">
        <is>
          <t>some disease-enriched species, including...Peptostreptococcus stomatis featured the highest scores for the discrimination of patients and healthy controls...opportunistic pathogens (e.g., Erysipelatoclostridium ramosum, Ruminococcus gnavus, Peptostreptococcus stomatis...)</t>
        </is>
      </c>
      <c r="M61" s="20" t="inlineStr"/>
      <c r="N61" s="21" t="inlineStr"/>
      <c r="O61" s="21" t="inlineStr"/>
    </row>
    <row r="62" ht="20" customHeight="1">
      <c r="A62" s="22" t="inlineStr">
        <is>
          <t>Faecalibacterium</t>
        </is>
      </c>
      <c r="B62" s="22" t="inlineStr">
        <is>
          <t>bacteria</t>
        </is>
      </c>
      <c r="C62" s="22" t="inlineStr">
        <is>
          <t>genus</t>
        </is>
      </c>
      <c r="D62" s="22" t="inlineStr">
        <is>
          <t>multiple diseases (meta-analysis)</t>
        </is>
      </c>
      <c r="E62" s="27" t="inlineStr">
        <is>
          <t>decreased</t>
        </is>
      </c>
      <c r="F62" s="22" t="inlineStr">
        <is>
          <t>disease_vs_control</t>
        </is>
      </c>
      <c r="G62" s="22" t="inlineStr">
        <is>
          <t>fecal</t>
        </is>
      </c>
      <c r="H62" s="22" t="inlineStr"/>
      <c r="I62" s="22" t="inlineStr">
        <is>
          <t>high</t>
        </is>
      </c>
      <c r="J62" s="23" t="inlineStr">
        <is>
          <t>verified</t>
        </is>
      </c>
      <c r="K62" s="23" t="inlineStr">
        <is>
          <t>keep</t>
        </is>
      </c>
      <c r="L62" s="24" t="inlineStr">
        <is>
          <t>Consistent with the species-level results, several genera involved in SCFA production such as Faecalibacterium, Roseburia, and Butyricicoccus were reduced in diseased subjected compared to healthy controls</t>
        </is>
      </c>
      <c r="M62" s="20" t="inlineStr"/>
      <c r="N62" s="21" t="inlineStr"/>
      <c r="O62" s="21" t="inlineStr"/>
    </row>
    <row r="63" ht="20" customHeight="1">
      <c r="A63" s="16" t="inlineStr">
        <is>
          <t>Roseburia</t>
        </is>
      </c>
      <c r="B63" s="16" t="inlineStr">
        <is>
          <t>bacteria</t>
        </is>
      </c>
      <c r="C63" s="16" t="inlineStr">
        <is>
          <t>genus</t>
        </is>
      </c>
      <c r="D63" s="16" t="inlineStr">
        <is>
          <t>multiple diseases (meta-analysis)</t>
        </is>
      </c>
      <c r="E63" s="27" t="inlineStr">
        <is>
          <t>decreased</t>
        </is>
      </c>
      <c r="F63" s="16" t="inlineStr">
        <is>
          <t>disease_vs_control</t>
        </is>
      </c>
      <c r="G63" s="16" t="inlineStr">
        <is>
          <t>fecal</t>
        </is>
      </c>
      <c r="H63" s="16" t="inlineStr"/>
      <c r="I63" s="16" t="inlineStr">
        <is>
          <t>high</t>
        </is>
      </c>
      <c r="J63" s="18" t="inlineStr">
        <is>
          <t>verified</t>
        </is>
      </c>
      <c r="K63" s="18" t="inlineStr">
        <is>
          <t>keep</t>
        </is>
      </c>
      <c r="L63" s="19" t="inlineStr">
        <is>
          <t>Consistent with the species-level results, several genera involved in SCFA production such as Faecalibacterium, Roseburia, and Butyricicoccus were reduced in diseased subjected compared to healthy controls</t>
        </is>
      </c>
      <c r="M63" s="20" t="inlineStr"/>
      <c r="N63" s="21" t="inlineStr"/>
      <c r="O63" s="21" t="inlineStr"/>
    </row>
    <row r="64" ht="20" customHeight="1">
      <c r="A64" s="22" t="inlineStr">
        <is>
          <t>Butyricicoccus</t>
        </is>
      </c>
      <c r="B64" s="22" t="inlineStr">
        <is>
          <t>bacteria</t>
        </is>
      </c>
      <c r="C64" s="22" t="inlineStr">
        <is>
          <t>genus</t>
        </is>
      </c>
      <c r="D64" s="22" t="inlineStr">
        <is>
          <t>multiple diseases (meta-analysis)</t>
        </is>
      </c>
      <c r="E64" s="27" t="inlineStr">
        <is>
          <t>decreased</t>
        </is>
      </c>
      <c r="F64" s="22" t="inlineStr">
        <is>
          <t>disease_vs_control</t>
        </is>
      </c>
      <c r="G64" s="22" t="inlineStr">
        <is>
          <t>fecal</t>
        </is>
      </c>
      <c r="H64" s="22" t="inlineStr"/>
      <c r="I64" s="22" t="inlineStr">
        <is>
          <t>high</t>
        </is>
      </c>
      <c r="J64" s="23" t="inlineStr">
        <is>
          <t>verified</t>
        </is>
      </c>
      <c r="K64" s="23" t="inlineStr">
        <is>
          <t>keep</t>
        </is>
      </c>
      <c r="L64" s="24" t="inlineStr">
        <is>
          <t>Consistent with the species-level results, several genera involved in SCFA production such as Faecalibacterium, Roseburia, and Butyricicoccus were reduced in diseased subjected compared to healthy controls</t>
        </is>
      </c>
      <c r="M64" s="20" t="inlineStr"/>
      <c r="N64" s="21" t="inlineStr"/>
      <c r="O64" s="21" t="inlineStr"/>
    </row>
    <row r="65" ht="20" customHeight="1">
      <c r="A65" s="16" t="inlineStr">
        <is>
          <t>Fusobacterium</t>
        </is>
      </c>
      <c r="B65" s="16" t="inlineStr">
        <is>
          <t>bacteria</t>
        </is>
      </c>
      <c r="C65" s="16" t="inlineStr">
        <is>
          <t>genus</t>
        </is>
      </c>
      <c r="D65" s="16" t="inlineStr">
        <is>
          <t>multiple diseases (meta-analysis)</t>
        </is>
      </c>
      <c r="E65" s="17" t="inlineStr">
        <is>
          <t>increased</t>
        </is>
      </c>
      <c r="F65" s="16" t="inlineStr">
        <is>
          <t>disease_vs_control</t>
        </is>
      </c>
      <c r="G65" s="16" t="inlineStr">
        <is>
          <t>fecal</t>
        </is>
      </c>
      <c r="H65" s="16" t="inlineStr"/>
      <c r="I65" s="16" t="inlineStr">
        <is>
          <t>high</t>
        </is>
      </c>
      <c r="J65" s="18" t="inlineStr">
        <is>
          <t>verified</t>
        </is>
      </c>
      <c r="K65" s="18" t="inlineStr">
        <is>
          <t>keep</t>
        </is>
      </c>
      <c r="L65" s="19" t="inlineStr">
        <is>
          <t>some harmful bacteria such as Fusobacterium, Escherichia, and Enterocloster were enriched in patients</t>
        </is>
      </c>
      <c r="M65" s="20" t="inlineStr"/>
      <c r="N65" s="21" t="inlineStr"/>
      <c r="O65" s="21" t="inlineStr"/>
    </row>
    <row r="66" ht="20" customHeight="1">
      <c r="A66" s="22" t="inlineStr">
        <is>
          <t>Escherichia</t>
        </is>
      </c>
      <c r="B66" s="22" t="inlineStr">
        <is>
          <t>bacteria</t>
        </is>
      </c>
      <c r="C66" s="22" t="inlineStr">
        <is>
          <t>genus</t>
        </is>
      </c>
      <c r="D66" s="22" t="inlineStr">
        <is>
          <t>multiple diseases (meta-analysis)</t>
        </is>
      </c>
      <c r="E66" s="17" t="inlineStr">
        <is>
          <t>increased</t>
        </is>
      </c>
      <c r="F66" s="22" t="inlineStr">
        <is>
          <t>disease_vs_control</t>
        </is>
      </c>
      <c r="G66" s="22" t="inlineStr">
        <is>
          <t>fecal</t>
        </is>
      </c>
      <c r="H66" s="22" t="inlineStr"/>
      <c r="I66" s="22" t="inlineStr">
        <is>
          <t>high</t>
        </is>
      </c>
      <c r="J66" s="23" t="inlineStr">
        <is>
          <t>verified</t>
        </is>
      </c>
      <c r="K66" s="23" t="inlineStr">
        <is>
          <t>keep</t>
        </is>
      </c>
      <c r="L66" s="24" t="inlineStr">
        <is>
          <t>some harmful bacteria such as Fusobacterium, Escherichia, and Enterocloster were enriched in patients</t>
        </is>
      </c>
      <c r="M66" s="20" t="inlineStr"/>
      <c r="N66" s="21" t="inlineStr"/>
      <c r="O66" s="21" t="inlineStr"/>
    </row>
    <row r="67" ht="20" customHeight="1">
      <c r="A67" s="16" t="inlineStr">
        <is>
          <t>Enterocloster</t>
        </is>
      </c>
      <c r="B67" s="16" t="inlineStr">
        <is>
          <t>bacteria</t>
        </is>
      </c>
      <c r="C67" s="16" t="inlineStr">
        <is>
          <t>genus</t>
        </is>
      </c>
      <c r="D67" s="16" t="inlineStr">
        <is>
          <t>multiple diseases (meta-analysis)</t>
        </is>
      </c>
      <c r="E67" s="17" t="inlineStr">
        <is>
          <t>increased</t>
        </is>
      </c>
      <c r="F67" s="16" t="inlineStr">
        <is>
          <t>disease_vs_control</t>
        </is>
      </c>
      <c r="G67" s="16" t="inlineStr">
        <is>
          <t>fecal</t>
        </is>
      </c>
      <c r="H67" s="16" t="inlineStr"/>
      <c r="I67" s="16" t="inlineStr">
        <is>
          <t>high</t>
        </is>
      </c>
      <c r="J67" s="18" t="inlineStr">
        <is>
          <t>verified</t>
        </is>
      </c>
      <c r="K67" s="18" t="inlineStr">
        <is>
          <t>keep</t>
        </is>
      </c>
      <c r="L67" s="19" t="inlineStr">
        <is>
          <t>some harmful bacteria such as Fusobacterium, Escherichia, and Enterocloster were enriched in patients</t>
        </is>
      </c>
      <c r="M67" s="20" t="inlineStr"/>
      <c r="N67" s="21" t="inlineStr"/>
      <c r="O67" s="21" t="inlineStr"/>
    </row>
    <row r="68" ht="20" customHeight="1">
      <c r="A68" s="22" t="inlineStr">
        <is>
          <t>Firmicutes</t>
        </is>
      </c>
      <c r="B68" s="22" t="inlineStr">
        <is>
          <t>bacteria</t>
        </is>
      </c>
      <c r="C68" s="22" t="inlineStr">
        <is>
          <t>phylum</t>
        </is>
      </c>
      <c r="D68" s="22" t="inlineStr">
        <is>
          <t>multiple diseases (meta-analysis)</t>
        </is>
      </c>
      <c r="E68" s="27" t="inlineStr">
        <is>
          <t>decreased</t>
        </is>
      </c>
      <c r="F68" s="22" t="inlineStr">
        <is>
          <t>disease_vs_control</t>
        </is>
      </c>
      <c r="G68" s="22" t="inlineStr">
        <is>
          <t>fecal</t>
        </is>
      </c>
      <c r="H68" s="22" t="inlineStr"/>
      <c r="I68" s="22" t="inlineStr">
        <is>
          <t>low</t>
        </is>
      </c>
      <c r="J68" s="23" t="inlineStr">
        <is>
          <t>verified</t>
        </is>
      </c>
      <c r="K68" s="23" t="inlineStr">
        <is>
          <t>keep_flagged</t>
        </is>
      </c>
      <c r="L68" s="24" t="inlineStr">
        <is>
          <t>Most of the control-enriched species belonged to the phylum Firmicutes, including members of Clostridium...Blautia...Roseburia...Faecalibacterium...and Ruminococcus</t>
        </is>
      </c>
      <c r="M68" s="20" t="inlineStr"/>
      <c r="N68" s="21" t="inlineStr"/>
      <c r="O68"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68" showDropDown="0" showInputMessage="0" showErrorMessage="0" allowBlank="1" type="list">
      <formula1>"approved,rejected,modified"</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206 — Gut-associated microbes are present and active in the pig nasal cavity</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Prevotella</t>
        </is>
      </c>
      <c r="B3" s="16" t="inlineStr">
        <is>
          <t>bacteria</t>
        </is>
      </c>
      <c r="C3" s="16" t="inlineStr">
        <is>
          <t>genus</t>
        </is>
      </c>
      <c r="D3" s="16" t="inlineStr">
        <is>
          <t>chronic rhinosinusitis</t>
        </is>
      </c>
      <c r="E3" s="17" t="inlineStr">
        <is>
          <t>increased</t>
        </is>
      </c>
      <c r="F3" s="16" t="inlineStr">
        <is>
          <t>disease_vs_control</t>
        </is>
      </c>
      <c r="G3" s="16" t="inlineStr">
        <is>
          <t>nasal</t>
        </is>
      </c>
      <c r="H3" s="16" t="inlineStr"/>
      <c r="I3" s="16" t="inlineStr">
        <is>
          <t>low</t>
        </is>
      </c>
      <c r="J3" s="18" t="inlineStr">
        <is>
          <t>verified</t>
        </is>
      </c>
      <c r="K3" s="18" t="inlineStr">
        <is>
          <t>keep_flagged</t>
        </is>
      </c>
      <c r="L3" s="19" t="inlineStr">
        <is>
          <t>in humans with chronic rhinosinusitis, Prevotella (genus belonging to Bacteroidales) was associated with increased inflammatory severity</t>
        </is>
      </c>
      <c r="M3" s="20" t="inlineStr"/>
      <c r="N3" s="21" t="inlineStr"/>
      <c r="O3"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 showDropDown="0" showInputMessage="0" showErrorMessage="0" allowBlank="1" type="list">
      <formula1>"approved,rejected,modified"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13"/>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208 — Determination of nasal and oropharyngeal microbiomes in a multicenter population-based study – findings from Pretest 1 of the German National Cohort</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c r="A3" s="28" t="inlineStr">
        <is>
          <t>No relationships extracted — please review paper manually and add below if needed.</t>
        </is>
      </c>
      <c r="B3" s="29" t="n"/>
      <c r="C3" s="29" t="n"/>
      <c r="D3" s="29" t="n"/>
      <c r="E3" s="29" t="n"/>
      <c r="F3" s="29" t="n"/>
      <c r="G3" s="29" t="n"/>
      <c r="H3" s="29" t="n"/>
      <c r="I3" s="29" t="n"/>
      <c r="J3" s="29" t="n"/>
      <c r="K3" s="29" t="n"/>
      <c r="L3" s="29" t="n"/>
      <c r="M3" s="29" t="n"/>
      <c r="N3" s="29" t="n"/>
      <c r="O3" s="29" t="n"/>
    </row>
    <row r="4" ht="20" customHeight="1">
      <c r="A4" s="30" t="inlineStr"/>
      <c r="B4" s="30" t="inlineStr"/>
      <c r="C4" s="30" t="inlineStr"/>
      <c r="D4" s="30" t="inlineStr"/>
      <c r="E4" s="30" t="inlineStr"/>
      <c r="F4" s="30" t="inlineStr"/>
      <c r="G4" s="30" t="inlineStr"/>
      <c r="H4" s="30" t="inlineStr"/>
      <c r="I4" s="30" t="inlineStr"/>
      <c r="J4" s="31" t="inlineStr"/>
      <c r="K4" s="31" t="inlineStr"/>
      <c r="L4" s="31" t="inlineStr"/>
      <c r="M4" s="32" t="inlineStr"/>
      <c r="N4" s="32" t="inlineStr"/>
      <c r="O4" s="32" t="inlineStr"/>
    </row>
    <row r="5" ht="20" customHeight="1">
      <c r="A5" s="30" t="inlineStr"/>
      <c r="B5" s="30" t="inlineStr"/>
      <c r="C5" s="30" t="inlineStr"/>
      <c r="D5" s="30" t="inlineStr"/>
      <c r="E5" s="30" t="inlineStr"/>
      <c r="F5" s="30" t="inlineStr"/>
      <c r="G5" s="30" t="inlineStr"/>
      <c r="H5" s="30" t="inlineStr"/>
      <c r="I5" s="30" t="inlineStr"/>
      <c r="J5" s="31" t="inlineStr"/>
      <c r="K5" s="31" t="inlineStr"/>
      <c r="L5" s="31" t="inlineStr"/>
      <c r="M5" s="32" t="inlineStr"/>
      <c r="N5" s="32" t="inlineStr"/>
      <c r="O5" s="32" t="inlineStr"/>
    </row>
    <row r="6" ht="20" customHeight="1">
      <c r="A6" s="30" t="inlineStr"/>
      <c r="B6" s="30" t="inlineStr"/>
      <c r="C6" s="30" t="inlineStr"/>
      <c r="D6" s="30" t="inlineStr"/>
      <c r="E6" s="30" t="inlineStr"/>
      <c r="F6" s="30" t="inlineStr"/>
      <c r="G6" s="30" t="inlineStr"/>
      <c r="H6" s="30" t="inlineStr"/>
      <c r="I6" s="30" t="inlineStr"/>
      <c r="J6" s="31" t="inlineStr"/>
      <c r="K6" s="31" t="inlineStr"/>
      <c r="L6" s="31" t="inlineStr"/>
      <c r="M6" s="32" t="inlineStr"/>
      <c r="N6" s="32" t="inlineStr"/>
      <c r="O6" s="32" t="inlineStr"/>
    </row>
    <row r="7" ht="20" customHeight="1">
      <c r="A7" s="30" t="inlineStr"/>
      <c r="B7" s="30" t="inlineStr"/>
      <c r="C7" s="30" t="inlineStr"/>
      <c r="D7" s="30" t="inlineStr"/>
      <c r="E7" s="30" t="inlineStr"/>
      <c r="F7" s="30" t="inlineStr"/>
      <c r="G7" s="30" t="inlineStr"/>
      <c r="H7" s="30" t="inlineStr"/>
      <c r="I7" s="30" t="inlineStr"/>
      <c r="J7" s="31" t="inlineStr"/>
      <c r="K7" s="31" t="inlineStr"/>
      <c r="L7" s="31" t="inlineStr"/>
      <c r="M7" s="32" t="inlineStr"/>
      <c r="N7" s="32" t="inlineStr"/>
      <c r="O7" s="32" t="inlineStr"/>
    </row>
    <row r="8" ht="20" customHeight="1">
      <c r="A8" s="30" t="inlineStr"/>
      <c r="B8" s="30" t="inlineStr"/>
      <c r="C8" s="30" t="inlineStr"/>
      <c r="D8" s="30" t="inlineStr"/>
      <c r="E8" s="30" t="inlineStr"/>
      <c r="F8" s="30" t="inlineStr"/>
      <c r="G8" s="30" t="inlineStr"/>
      <c r="H8" s="30" t="inlineStr"/>
      <c r="I8" s="30" t="inlineStr"/>
      <c r="J8" s="31" t="inlineStr"/>
      <c r="K8" s="31" t="inlineStr"/>
      <c r="L8" s="31" t="inlineStr"/>
      <c r="M8" s="32" t="inlineStr"/>
      <c r="N8" s="32" t="inlineStr"/>
      <c r="O8" s="32" t="inlineStr"/>
    </row>
    <row r="9" ht="20" customHeight="1">
      <c r="A9" s="30" t="inlineStr"/>
      <c r="B9" s="30" t="inlineStr"/>
      <c r="C9" s="30" t="inlineStr"/>
      <c r="D9" s="30" t="inlineStr"/>
      <c r="E9" s="30" t="inlineStr"/>
      <c r="F9" s="30" t="inlineStr"/>
      <c r="G9" s="30" t="inlineStr"/>
      <c r="H9" s="30" t="inlineStr"/>
      <c r="I9" s="30" t="inlineStr"/>
      <c r="J9" s="31" t="inlineStr"/>
      <c r="K9" s="31" t="inlineStr"/>
      <c r="L9" s="31" t="inlineStr"/>
      <c r="M9" s="32" t="inlineStr"/>
      <c r="N9" s="32" t="inlineStr"/>
      <c r="O9" s="32" t="inlineStr"/>
    </row>
    <row r="10" ht="20" customHeight="1">
      <c r="A10" s="30" t="inlineStr"/>
      <c r="B10" s="30" t="inlineStr"/>
      <c r="C10" s="30" t="inlineStr"/>
      <c r="D10" s="30" t="inlineStr"/>
      <c r="E10" s="30" t="inlineStr"/>
      <c r="F10" s="30" t="inlineStr"/>
      <c r="G10" s="30" t="inlineStr"/>
      <c r="H10" s="30" t="inlineStr"/>
      <c r="I10" s="30" t="inlineStr"/>
      <c r="J10" s="31" t="inlineStr"/>
      <c r="K10" s="31" t="inlineStr"/>
      <c r="L10" s="31" t="inlineStr"/>
      <c r="M10" s="32" t="inlineStr"/>
      <c r="N10" s="32" t="inlineStr"/>
      <c r="O10" s="32" t="inlineStr"/>
    </row>
    <row r="11" ht="20" customHeight="1">
      <c r="A11" s="30" t="inlineStr"/>
      <c r="B11" s="30" t="inlineStr"/>
      <c r="C11" s="30" t="inlineStr"/>
      <c r="D11" s="30" t="inlineStr"/>
      <c r="E11" s="30" t="inlineStr"/>
      <c r="F11" s="30" t="inlineStr"/>
      <c r="G11" s="30" t="inlineStr"/>
      <c r="H11" s="30" t="inlineStr"/>
      <c r="I11" s="30" t="inlineStr"/>
      <c r="J11" s="31" t="inlineStr"/>
      <c r="K11" s="31" t="inlineStr"/>
      <c r="L11" s="31" t="inlineStr"/>
      <c r="M11" s="32" t="inlineStr"/>
      <c r="N11" s="32" t="inlineStr"/>
      <c r="O11" s="32" t="inlineStr"/>
    </row>
    <row r="12" ht="20" customHeight="1">
      <c r="A12" s="30" t="inlineStr"/>
      <c r="B12" s="30" t="inlineStr"/>
      <c r="C12" s="30" t="inlineStr"/>
      <c r="D12" s="30" t="inlineStr"/>
      <c r="E12" s="30" t="inlineStr"/>
      <c r="F12" s="30" t="inlineStr"/>
      <c r="G12" s="30" t="inlineStr"/>
      <c r="H12" s="30" t="inlineStr"/>
      <c r="I12" s="30" t="inlineStr"/>
      <c r="J12" s="31" t="inlineStr"/>
      <c r="K12" s="31" t="inlineStr"/>
      <c r="L12" s="31" t="inlineStr"/>
      <c r="M12" s="32" t="inlineStr"/>
      <c r="N12" s="32" t="inlineStr"/>
      <c r="O12" s="32" t="inlineStr"/>
    </row>
    <row r="13" ht="20" customHeight="1">
      <c r="A13" s="30" t="inlineStr"/>
      <c r="B13" s="30" t="inlineStr"/>
      <c r="C13" s="30" t="inlineStr"/>
      <c r="D13" s="30" t="inlineStr"/>
      <c r="E13" s="30" t="inlineStr"/>
      <c r="F13" s="30" t="inlineStr"/>
      <c r="G13" s="30" t="inlineStr"/>
      <c r="H13" s="30" t="inlineStr"/>
      <c r="I13" s="30" t="inlineStr"/>
      <c r="J13" s="31" t="inlineStr"/>
      <c r="K13" s="31" t="inlineStr"/>
      <c r="L13" s="31" t="inlineStr"/>
      <c r="M13" s="32" t="inlineStr"/>
      <c r="N13" s="32" t="inlineStr"/>
      <c r="O13" s="32"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2">
    <mergeCell ref="A1:O1"/>
    <mergeCell ref="A3:O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22"/>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435 — Dynamic alterations in the lung microbiota in a rat model of lipopolysaccharide-induced acute lung injury</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Brevibacterium</t>
        </is>
      </c>
      <c r="B3" s="16" t="inlineStr">
        <is>
          <t>bacteria</t>
        </is>
      </c>
      <c r="C3" s="16" t="inlineStr">
        <is>
          <t>genus</t>
        </is>
      </c>
      <c r="D3" s="16" t="inlineStr">
        <is>
          <t>acute lung injury / acute respiratory distress syndrome (ALI/ARDS)</t>
        </is>
      </c>
      <c r="E3" s="17" t="inlineStr">
        <is>
          <t>increased</t>
        </is>
      </c>
      <c r="F3" s="16" t="inlineStr">
        <is>
          <t>disease_vs_control</t>
        </is>
      </c>
      <c r="G3" s="16" t="inlineStr">
        <is>
          <t>lung</t>
        </is>
      </c>
      <c r="H3" s="16" t="inlineStr"/>
      <c r="I3" s="16" t="inlineStr">
        <is>
          <t>high</t>
        </is>
      </c>
      <c r="J3" s="18" t="inlineStr">
        <is>
          <t>verified</t>
        </is>
      </c>
      <c r="K3" s="18" t="inlineStr">
        <is>
          <t>keep</t>
        </is>
      </c>
      <c r="L3" s="19" t="inlineStr">
        <is>
          <t>At the genus level, Brevibacterium, Motilimonas, Enterococcus, Faecalibacterium, and Ligilactobacillus were significantly increased in the LPS12 group versus the Control group</t>
        </is>
      </c>
      <c r="M3" s="20" t="inlineStr"/>
      <c r="N3" s="21" t="inlineStr"/>
      <c r="O3" s="21" t="inlineStr"/>
    </row>
    <row r="4" ht="20" customHeight="1">
      <c r="A4" s="22" t="inlineStr">
        <is>
          <t>Motilimonas</t>
        </is>
      </c>
      <c r="B4" s="22" t="inlineStr">
        <is>
          <t>bacteria</t>
        </is>
      </c>
      <c r="C4" s="22" t="inlineStr">
        <is>
          <t>genus</t>
        </is>
      </c>
      <c r="D4" s="22" t="inlineStr">
        <is>
          <t>acute lung injury / acute respiratory distress syndrome (ALI/ARDS)</t>
        </is>
      </c>
      <c r="E4" s="17" t="inlineStr">
        <is>
          <t>increased</t>
        </is>
      </c>
      <c r="F4" s="22" t="inlineStr">
        <is>
          <t>disease_vs_control</t>
        </is>
      </c>
      <c r="G4" s="22" t="inlineStr">
        <is>
          <t>lung</t>
        </is>
      </c>
      <c r="H4" s="22" t="inlineStr"/>
      <c r="I4" s="22" t="inlineStr">
        <is>
          <t>high</t>
        </is>
      </c>
      <c r="J4" s="23" t="inlineStr">
        <is>
          <t>verified</t>
        </is>
      </c>
      <c r="K4" s="23" t="inlineStr">
        <is>
          <t>keep</t>
        </is>
      </c>
      <c r="L4" s="24" t="inlineStr">
        <is>
          <t>At the genus level, Brevibacterium, Motilimonas, Enterococcus, Faecalibacterium, and Ligilactobacillus were significantly increased in the LPS12 group versus the Control group</t>
        </is>
      </c>
      <c r="M4" s="20" t="inlineStr"/>
      <c r="N4" s="21" t="inlineStr"/>
      <c r="O4" s="21" t="inlineStr"/>
    </row>
    <row r="5" ht="20" customHeight="1">
      <c r="A5" s="16" t="inlineStr">
        <is>
          <t>Enterococcus</t>
        </is>
      </c>
      <c r="B5" s="16" t="inlineStr">
        <is>
          <t>bacteria</t>
        </is>
      </c>
      <c r="C5" s="16" t="inlineStr">
        <is>
          <t>genus</t>
        </is>
      </c>
      <c r="D5" s="16" t="inlineStr">
        <is>
          <t>acute lung injury / acute respiratory distress syndrome (ALI/ARDS)</t>
        </is>
      </c>
      <c r="E5" s="17" t="inlineStr">
        <is>
          <t>increased</t>
        </is>
      </c>
      <c r="F5" s="16" t="inlineStr">
        <is>
          <t>disease_vs_control</t>
        </is>
      </c>
      <c r="G5" s="16" t="inlineStr">
        <is>
          <t>lung</t>
        </is>
      </c>
      <c r="H5" s="16" t="inlineStr"/>
      <c r="I5" s="16" t="inlineStr">
        <is>
          <t>high</t>
        </is>
      </c>
      <c r="J5" s="18" t="inlineStr">
        <is>
          <t>verified</t>
        </is>
      </c>
      <c r="K5" s="18" t="inlineStr">
        <is>
          <t>keep</t>
        </is>
      </c>
      <c r="L5" s="19" t="inlineStr">
        <is>
          <t>At the genus level, Brevibacterium, Motilimonas, Enterococcus, Faecalibacterium, and Ligilactobacillus were significantly increased in the LPS12 group versus the Control group</t>
        </is>
      </c>
      <c r="M5" s="20" t="inlineStr"/>
      <c r="N5" s="21" t="inlineStr"/>
      <c r="O5" s="21" t="inlineStr"/>
    </row>
    <row r="6" ht="20" customHeight="1">
      <c r="A6" s="22" t="inlineStr">
        <is>
          <t>Faecalibacterium</t>
        </is>
      </c>
      <c r="B6" s="22" t="inlineStr">
        <is>
          <t>bacteria</t>
        </is>
      </c>
      <c r="C6" s="22" t="inlineStr">
        <is>
          <t>genus</t>
        </is>
      </c>
      <c r="D6" s="22" t="inlineStr">
        <is>
          <t>acute lung injury / acute respiratory distress syndrome (ALI/ARDS)</t>
        </is>
      </c>
      <c r="E6" s="17" t="inlineStr">
        <is>
          <t>increased</t>
        </is>
      </c>
      <c r="F6" s="22" t="inlineStr">
        <is>
          <t>disease_vs_control</t>
        </is>
      </c>
      <c r="G6" s="22" t="inlineStr">
        <is>
          <t>lung</t>
        </is>
      </c>
      <c r="H6" s="22" t="inlineStr"/>
      <c r="I6" s="22" t="inlineStr">
        <is>
          <t>high</t>
        </is>
      </c>
      <c r="J6" s="23" t="inlineStr">
        <is>
          <t>verified</t>
        </is>
      </c>
      <c r="K6" s="23" t="inlineStr">
        <is>
          <t>keep</t>
        </is>
      </c>
      <c r="L6" s="24" t="inlineStr">
        <is>
          <t>At the genus level, Brevibacterium, Motilimonas, Enterococcus, Faecalibacterium, and Ligilactobacillus were significantly increased in the LPS12 group versus the Control group</t>
        </is>
      </c>
      <c r="M6" s="20" t="inlineStr"/>
      <c r="N6" s="21" t="inlineStr"/>
      <c r="O6" s="21" t="inlineStr"/>
    </row>
    <row r="7" ht="20" customHeight="1">
      <c r="A7" s="16" t="inlineStr">
        <is>
          <t>Ligilactobacillus</t>
        </is>
      </c>
      <c r="B7" s="16" t="inlineStr">
        <is>
          <t>bacteria</t>
        </is>
      </c>
      <c r="C7" s="16" t="inlineStr">
        <is>
          <t>genus</t>
        </is>
      </c>
      <c r="D7" s="16" t="inlineStr">
        <is>
          <t>acute lung injury / acute respiratory distress syndrome (ALI/ARDS)</t>
        </is>
      </c>
      <c r="E7" s="17" t="inlineStr">
        <is>
          <t>increased</t>
        </is>
      </c>
      <c r="F7" s="16" t="inlineStr">
        <is>
          <t>disease_vs_control</t>
        </is>
      </c>
      <c r="G7" s="16" t="inlineStr">
        <is>
          <t>lung</t>
        </is>
      </c>
      <c r="H7" s="16" t="inlineStr"/>
      <c r="I7" s="16" t="inlineStr">
        <is>
          <t>high</t>
        </is>
      </c>
      <c r="J7" s="18" t="inlineStr">
        <is>
          <t>verified</t>
        </is>
      </c>
      <c r="K7" s="18" t="inlineStr">
        <is>
          <t>keep</t>
        </is>
      </c>
      <c r="L7" s="19" t="inlineStr">
        <is>
          <t>At the genus level, Brevibacterium, Motilimonas, Enterococcus, Faecalibacterium, and Ligilactobacillus were significantly increased in the LPS12 group versus the Control group</t>
        </is>
      </c>
      <c r="M7" s="20" t="inlineStr"/>
      <c r="N7" s="21" t="inlineStr"/>
      <c r="O7" s="21" t="inlineStr"/>
    </row>
    <row r="8" ht="20" customHeight="1">
      <c r="A8" s="22" t="inlineStr">
        <is>
          <t>Lactiplantibacillus</t>
        </is>
      </c>
      <c r="B8" s="22" t="inlineStr">
        <is>
          <t>bacteria</t>
        </is>
      </c>
      <c r="C8" s="22" t="inlineStr">
        <is>
          <t>genus</t>
        </is>
      </c>
      <c r="D8" s="22" t="inlineStr">
        <is>
          <t>acute lung injury / acute respiratory distress syndrome (ALI/ARDS)</t>
        </is>
      </c>
      <c r="E8" s="27" t="inlineStr">
        <is>
          <t>decreased</t>
        </is>
      </c>
      <c r="F8" s="22" t="inlineStr">
        <is>
          <t>disease_vs_control</t>
        </is>
      </c>
      <c r="G8" s="22" t="inlineStr">
        <is>
          <t>lung</t>
        </is>
      </c>
      <c r="H8" s="22" t="inlineStr"/>
      <c r="I8" s="22" t="inlineStr">
        <is>
          <t>high</t>
        </is>
      </c>
      <c r="J8" s="23" t="inlineStr">
        <is>
          <t>verified</t>
        </is>
      </c>
      <c r="K8" s="23" t="inlineStr">
        <is>
          <t>keep</t>
        </is>
      </c>
      <c r="L8" s="24" t="inlineStr">
        <is>
          <t>whereas Lactiplantibacillus and Paracoccus were significantly decreased</t>
        </is>
      </c>
      <c r="M8" s="20" t="inlineStr"/>
      <c r="N8" s="21" t="inlineStr"/>
      <c r="O8" s="21" t="inlineStr"/>
    </row>
    <row r="9" ht="20" customHeight="1">
      <c r="A9" s="16" t="inlineStr">
        <is>
          <t>Paracoccus</t>
        </is>
      </c>
      <c r="B9" s="16" t="inlineStr">
        <is>
          <t>bacteria</t>
        </is>
      </c>
      <c r="C9" s="16" t="inlineStr">
        <is>
          <t>genus</t>
        </is>
      </c>
      <c r="D9" s="16" t="inlineStr">
        <is>
          <t>acute lung injury / acute respiratory distress syndrome (ALI/ARDS)</t>
        </is>
      </c>
      <c r="E9" s="27" t="inlineStr">
        <is>
          <t>decreased</t>
        </is>
      </c>
      <c r="F9" s="16" t="inlineStr">
        <is>
          <t>disease_vs_control</t>
        </is>
      </c>
      <c r="G9" s="16" t="inlineStr">
        <is>
          <t>lung</t>
        </is>
      </c>
      <c r="H9" s="16" t="inlineStr"/>
      <c r="I9" s="16" t="inlineStr">
        <is>
          <t>high</t>
        </is>
      </c>
      <c r="J9" s="18" t="inlineStr">
        <is>
          <t>verified</t>
        </is>
      </c>
      <c r="K9" s="18" t="inlineStr">
        <is>
          <t>keep</t>
        </is>
      </c>
      <c r="L9" s="19" t="inlineStr">
        <is>
          <t>whereas Lactiplantibacillus and Paracoccus were significantly decreased</t>
        </is>
      </c>
      <c r="M9" s="20" t="inlineStr"/>
      <c r="N9" s="21" t="inlineStr"/>
      <c r="O9" s="21" t="inlineStr"/>
    </row>
    <row r="10" ht="20" customHeight="1">
      <c r="A10" s="22" t="inlineStr">
        <is>
          <t>Pseudarthrobacter</t>
        </is>
      </c>
      <c r="B10" s="22" t="inlineStr">
        <is>
          <t>bacteria</t>
        </is>
      </c>
      <c r="C10" s="22" t="inlineStr">
        <is>
          <t>genus</t>
        </is>
      </c>
      <c r="D10" s="22" t="inlineStr">
        <is>
          <t>acute lung injury / acute respiratory distress syndrome (ALI/ARDS)</t>
        </is>
      </c>
      <c r="E10" s="17" t="inlineStr">
        <is>
          <t>increased</t>
        </is>
      </c>
      <c r="F10" s="22" t="inlineStr">
        <is>
          <t>treatment_effect</t>
        </is>
      </c>
      <c r="G10" s="22" t="inlineStr">
        <is>
          <t>lung</t>
        </is>
      </c>
      <c r="H10" s="22" t="inlineStr"/>
      <c r="I10" s="22" t="inlineStr">
        <is>
          <t>medium</t>
        </is>
      </c>
      <c r="J10" s="23" t="inlineStr">
        <is>
          <t>verified</t>
        </is>
      </c>
      <c r="K10" s="23" t="inlineStr">
        <is>
          <t>keep_flagged</t>
        </is>
      </c>
      <c r="L10" s="24" t="inlineStr">
        <is>
          <t>At the genus level, Pseudarthrobacter was significantly increased in the LPS48 group as compared with the LPS12 group</t>
        </is>
      </c>
      <c r="M10" s="20" t="inlineStr"/>
      <c r="N10" s="21" t="inlineStr"/>
      <c r="O10" s="21" t="inlineStr"/>
    </row>
    <row r="11" ht="20" customHeight="1">
      <c r="A11" s="16" t="inlineStr">
        <is>
          <t>Olsenella</t>
        </is>
      </c>
      <c r="B11" s="16" t="inlineStr">
        <is>
          <t>bacteria</t>
        </is>
      </c>
      <c r="C11" s="16" t="inlineStr">
        <is>
          <t>genus</t>
        </is>
      </c>
      <c r="D11" s="16" t="inlineStr">
        <is>
          <t>acute lung injury / acute respiratory distress syndrome (ALI/ARDS)</t>
        </is>
      </c>
      <c r="E11" s="27" t="inlineStr">
        <is>
          <t>decreased</t>
        </is>
      </c>
      <c r="F11" s="16" t="inlineStr">
        <is>
          <t>treatment_effect</t>
        </is>
      </c>
      <c r="G11" s="16" t="inlineStr">
        <is>
          <t>lung</t>
        </is>
      </c>
      <c r="H11" s="16" t="inlineStr"/>
      <c r="I11" s="16" t="inlineStr">
        <is>
          <t>medium</t>
        </is>
      </c>
      <c r="J11" s="18" t="inlineStr">
        <is>
          <t>verified</t>
        </is>
      </c>
      <c r="K11" s="18" t="inlineStr">
        <is>
          <t>keep_flagged</t>
        </is>
      </c>
      <c r="L11" s="19" t="inlineStr">
        <is>
          <t>whereas Olsenella, Escherichia Shigella, Acinetobacter, and Phascolarctobacterium were significantly decreased</t>
        </is>
      </c>
      <c r="M11" s="20" t="inlineStr"/>
      <c r="N11" s="21" t="inlineStr"/>
      <c r="O11" s="21" t="inlineStr"/>
    </row>
    <row r="12" ht="20" customHeight="1">
      <c r="A12" s="22" t="inlineStr">
        <is>
          <t>Escherichia Shigella</t>
        </is>
      </c>
      <c r="B12" s="22" t="inlineStr">
        <is>
          <t>bacteria</t>
        </is>
      </c>
      <c r="C12" s="22" t="inlineStr">
        <is>
          <t>genus</t>
        </is>
      </c>
      <c r="D12" s="22" t="inlineStr">
        <is>
          <t>acute lung injury / acute respiratory distress syndrome (ALI/ARDS)</t>
        </is>
      </c>
      <c r="E12" s="27" t="inlineStr">
        <is>
          <t>decreased</t>
        </is>
      </c>
      <c r="F12" s="22" t="inlineStr">
        <is>
          <t>treatment_effect</t>
        </is>
      </c>
      <c r="G12" s="22" t="inlineStr">
        <is>
          <t>lung</t>
        </is>
      </c>
      <c r="H12" s="22" t="inlineStr"/>
      <c r="I12" s="22" t="inlineStr">
        <is>
          <t>medium</t>
        </is>
      </c>
      <c r="J12" s="23" t="inlineStr">
        <is>
          <t>verified</t>
        </is>
      </c>
      <c r="K12" s="23" t="inlineStr">
        <is>
          <t>keep_flagged</t>
        </is>
      </c>
      <c r="L12" s="24" t="inlineStr">
        <is>
          <t>whereas Olsenella, Escherichia Shigella, Acinetobacter, and Phascolarctobacterium were significantly decreased</t>
        </is>
      </c>
      <c r="M12" s="20" t="inlineStr"/>
      <c r="N12" s="21" t="inlineStr"/>
      <c r="O12" s="21" t="inlineStr"/>
    </row>
    <row r="13" ht="20" customHeight="1">
      <c r="A13" s="16" t="inlineStr">
        <is>
          <t>Acinetobacter</t>
        </is>
      </c>
      <c r="B13" s="16" t="inlineStr">
        <is>
          <t>bacteria</t>
        </is>
      </c>
      <c r="C13" s="16" t="inlineStr">
        <is>
          <t>genus</t>
        </is>
      </c>
      <c r="D13" s="16" t="inlineStr">
        <is>
          <t>acute lung injury / acute respiratory distress syndrome (ALI/ARDS)</t>
        </is>
      </c>
      <c r="E13" s="27" t="inlineStr">
        <is>
          <t>decreased</t>
        </is>
      </c>
      <c r="F13" s="16" t="inlineStr">
        <is>
          <t>treatment_effect</t>
        </is>
      </c>
      <c r="G13" s="16" t="inlineStr">
        <is>
          <t>lung</t>
        </is>
      </c>
      <c r="H13" s="16" t="inlineStr"/>
      <c r="I13" s="16" t="inlineStr">
        <is>
          <t>medium</t>
        </is>
      </c>
      <c r="J13" s="18" t="inlineStr">
        <is>
          <t>verified</t>
        </is>
      </c>
      <c r="K13" s="18" t="inlineStr">
        <is>
          <t>keep_flagged</t>
        </is>
      </c>
      <c r="L13" s="19" t="inlineStr">
        <is>
          <t>whereas Olsenella, Escherichia Shigella, Acinetobacter, and Phascolarctobacterium were significantly decreased</t>
        </is>
      </c>
      <c r="M13" s="20" t="inlineStr"/>
      <c r="N13" s="21" t="inlineStr"/>
      <c r="O13" s="21" t="inlineStr"/>
    </row>
    <row r="14" ht="20" customHeight="1">
      <c r="A14" s="22" t="inlineStr">
        <is>
          <t>Phascolarctobacterium</t>
        </is>
      </c>
      <c r="B14" s="22" t="inlineStr">
        <is>
          <t>bacteria</t>
        </is>
      </c>
      <c r="C14" s="22" t="inlineStr">
        <is>
          <t>genus</t>
        </is>
      </c>
      <c r="D14" s="22" t="inlineStr">
        <is>
          <t>acute lung injury / acute respiratory distress syndrome (ALI/ARDS)</t>
        </is>
      </c>
      <c r="E14" s="27" t="inlineStr">
        <is>
          <t>decreased</t>
        </is>
      </c>
      <c r="F14" s="22" t="inlineStr">
        <is>
          <t>treatment_effect</t>
        </is>
      </c>
      <c r="G14" s="22" t="inlineStr">
        <is>
          <t>lung</t>
        </is>
      </c>
      <c r="H14" s="22" t="inlineStr"/>
      <c r="I14" s="22" t="inlineStr">
        <is>
          <t>medium</t>
        </is>
      </c>
      <c r="J14" s="23" t="inlineStr">
        <is>
          <t>verified</t>
        </is>
      </c>
      <c r="K14" s="23" t="inlineStr">
        <is>
          <t>keep_flagged</t>
        </is>
      </c>
      <c r="L14" s="24" t="inlineStr">
        <is>
          <t>whereas Olsenella, Escherichia Shigella, Acinetobacter, and Phascolarctobacterium were significantly decreased</t>
        </is>
      </c>
      <c r="M14" s="20" t="inlineStr"/>
      <c r="N14" s="21" t="inlineStr"/>
      <c r="O14" s="21" t="inlineStr"/>
    </row>
    <row r="15" ht="20" customHeight="1">
      <c r="A15" s="16" t="inlineStr">
        <is>
          <t>Lactobacillus</t>
        </is>
      </c>
      <c r="B15" s="16" t="inlineStr">
        <is>
          <t>bacteria</t>
        </is>
      </c>
      <c r="C15" s="16" t="inlineStr">
        <is>
          <t>genus</t>
        </is>
      </c>
      <c r="D15" s="16" t="inlineStr">
        <is>
          <t>acute lung injury / acute respiratory distress syndrome (ALI/ARDS)</t>
        </is>
      </c>
      <c r="E15" s="17" t="inlineStr">
        <is>
          <t>increased</t>
        </is>
      </c>
      <c r="F15" s="16" t="inlineStr">
        <is>
          <t>disease_vs_control</t>
        </is>
      </c>
      <c r="G15" s="16" t="inlineStr">
        <is>
          <t>lung</t>
        </is>
      </c>
      <c r="H15" s="16" t="inlineStr"/>
      <c r="I15" s="16" t="inlineStr">
        <is>
          <t>high</t>
        </is>
      </c>
      <c r="J15" s="18" t="inlineStr">
        <is>
          <t>verified</t>
        </is>
      </c>
      <c r="K15" s="18" t="inlineStr">
        <is>
          <t>keep</t>
        </is>
      </c>
      <c r="L15" s="19" t="inlineStr">
        <is>
          <t>At the genus level, Lactobacillus was significantly increased in the LPS48 group as compared with the Control group</t>
        </is>
      </c>
      <c r="M15" s="20" t="inlineStr"/>
      <c r="N15" s="21" t="inlineStr"/>
      <c r="O15" s="21" t="inlineStr"/>
    </row>
    <row r="16" ht="20" customHeight="1">
      <c r="A16" s="22" t="inlineStr">
        <is>
          <t>Paramuribaculum</t>
        </is>
      </c>
      <c r="B16" s="22" t="inlineStr">
        <is>
          <t>bacteria</t>
        </is>
      </c>
      <c r="C16" s="22" t="inlineStr">
        <is>
          <t>genus</t>
        </is>
      </c>
      <c r="D16" s="22" t="inlineStr">
        <is>
          <t>acute lung injury / acute respiratory distress syndrome (ALI/ARDS)</t>
        </is>
      </c>
      <c r="E16" s="27" t="inlineStr">
        <is>
          <t>decreased</t>
        </is>
      </c>
      <c r="F16" s="22" t="inlineStr">
        <is>
          <t>disease_vs_control</t>
        </is>
      </c>
      <c r="G16" s="22" t="inlineStr">
        <is>
          <t>lung</t>
        </is>
      </c>
      <c r="H16" s="22" t="inlineStr"/>
      <c r="I16" s="22" t="inlineStr">
        <is>
          <t>high</t>
        </is>
      </c>
      <c r="J16" s="23" t="inlineStr">
        <is>
          <t>verified</t>
        </is>
      </c>
      <c r="K16" s="23" t="inlineStr">
        <is>
          <t>keep</t>
        </is>
      </c>
      <c r="L16" s="24" t="inlineStr">
        <is>
          <t>whereas Paramuribaculum, Escherichia Shigella, Enterobacter, Gp2, Brachybacterium, Lachnospira, and Olsenella were significantly decreased</t>
        </is>
      </c>
      <c r="M16" s="20" t="inlineStr"/>
      <c r="N16" s="21" t="inlineStr"/>
      <c r="O16" s="21" t="inlineStr"/>
    </row>
    <row r="17" ht="20" customHeight="1">
      <c r="A17" s="16" t="inlineStr">
        <is>
          <t>Escherichia Shigella</t>
        </is>
      </c>
      <c r="B17" s="16" t="inlineStr">
        <is>
          <t>bacteria</t>
        </is>
      </c>
      <c r="C17" s="16" t="inlineStr">
        <is>
          <t>genus</t>
        </is>
      </c>
      <c r="D17" s="16" t="inlineStr">
        <is>
          <t>acute lung injury / acute respiratory distress syndrome (ALI/ARDS)</t>
        </is>
      </c>
      <c r="E17" s="27" t="inlineStr">
        <is>
          <t>decreased</t>
        </is>
      </c>
      <c r="F17" s="16" t="inlineStr">
        <is>
          <t>disease_vs_control</t>
        </is>
      </c>
      <c r="G17" s="16" t="inlineStr">
        <is>
          <t>lung</t>
        </is>
      </c>
      <c r="H17" s="16" t="inlineStr"/>
      <c r="I17" s="16" t="inlineStr">
        <is>
          <t>high</t>
        </is>
      </c>
      <c r="J17" s="18" t="inlineStr">
        <is>
          <t>verified</t>
        </is>
      </c>
      <c r="K17" s="18" t="inlineStr">
        <is>
          <t>keep_flagged</t>
        </is>
      </c>
      <c r="L17" s="19" t="inlineStr">
        <is>
          <t>whereas Paramuribaculum, Escherichia Shigella, Enterobacter, Gp2, Brachybacterium, Lachnospira, and Olsenella were significantly decreased</t>
        </is>
      </c>
      <c r="M17" s="20" t="inlineStr"/>
      <c r="N17" s="21" t="inlineStr"/>
      <c r="O17" s="21" t="inlineStr"/>
    </row>
    <row r="18" ht="20" customHeight="1">
      <c r="A18" s="22" t="inlineStr">
        <is>
          <t>Enterobacter</t>
        </is>
      </c>
      <c r="B18" s="22" t="inlineStr">
        <is>
          <t>bacteria</t>
        </is>
      </c>
      <c r="C18" s="22" t="inlineStr">
        <is>
          <t>genus</t>
        </is>
      </c>
      <c r="D18" s="22" t="inlineStr">
        <is>
          <t>acute lung injury / acute respiratory distress syndrome (ALI/ARDS)</t>
        </is>
      </c>
      <c r="E18" s="27" t="inlineStr">
        <is>
          <t>decreased</t>
        </is>
      </c>
      <c r="F18" s="22" t="inlineStr">
        <is>
          <t>disease_vs_control</t>
        </is>
      </c>
      <c r="G18" s="22" t="inlineStr">
        <is>
          <t>lung</t>
        </is>
      </c>
      <c r="H18" s="22" t="inlineStr"/>
      <c r="I18" s="22" t="inlineStr">
        <is>
          <t>high</t>
        </is>
      </c>
      <c r="J18" s="23" t="inlineStr">
        <is>
          <t>verified</t>
        </is>
      </c>
      <c r="K18" s="23" t="inlineStr">
        <is>
          <t>keep</t>
        </is>
      </c>
      <c r="L18" s="24" t="inlineStr">
        <is>
          <t>whereas Paramuribaculum, Escherichia Shigella, Enterobacter, Gp2, Brachybacterium, Lachnospira, and Olsenella were significantly decreased</t>
        </is>
      </c>
      <c r="M18" s="20" t="inlineStr"/>
      <c r="N18" s="21" t="inlineStr"/>
      <c r="O18" s="21" t="inlineStr"/>
    </row>
    <row r="19" ht="20" customHeight="1">
      <c r="A19" s="16" t="inlineStr">
        <is>
          <t>Gp2</t>
        </is>
      </c>
      <c r="B19" s="16" t="inlineStr">
        <is>
          <t>bacteria</t>
        </is>
      </c>
      <c r="C19" s="16" t="inlineStr">
        <is>
          <t>genus</t>
        </is>
      </c>
      <c r="D19" s="16" t="inlineStr">
        <is>
          <t>acute lung injury / acute respiratory distress syndrome (ALI/ARDS)</t>
        </is>
      </c>
      <c r="E19" s="27" t="inlineStr">
        <is>
          <t>decreased</t>
        </is>
      </c>
      <c r="F19" s="16" t="inlineStr">
        <is>
          <t>disease_vs_control</t>
        </is>
      </c>
      <c r="G19" s="16" t="inlineStr">
        <is>
          <t>lung</t>
        </is>
      </c>
      <c r="H19" s="16" t="inlineStr"/>
      <c r="I19" s="16" t="inlineStr">
        <is>
          <t>low</t>
        </is>
      </c>
      <c r="J19" s="18" t="inlineStr">
        <is>
          <t>verified</t>
        </is>
      </c>
      <c r="K19" s="18" t="inlineStr">
        <is>
          <t>keep_flagged</t>
        </is>
      </c>
      <c r="L19" s="19" t="inlineStr">
        <is>
          <t>whereas Paramuribaculum, Escherichia Shigella, Enterobacter, Gp2, Brachybacterium, Lachnospira, and Olsenella were significantly decreased</t>
        </is>
      </c>
      <c r="M19" s="20" t="inlineStr"/>
      <c r="N19" s="21" t="inlineStr"/>
      <c r="O19" s="21" t="inlineStr"/>
    </row>
    <row r="20" ht="20" customHeight="1">
      <c r="A20" s="22" t="inlineStr">
        <is>
          <t>Brachybacterium</t>
        </is>
      </c>
      <c r="B20" s="22" t="inlineStr">
        <is>
          <t>bacteria</t>
        </is>
      </c>
      <c r="C20" s="22" t="inlineStr">
        <is>
          <t>genus</t>
        </is>
      </c>
      <c r="D20" s="22" t="inlineStr">
        <is>
          <t>acute lung injury / acute respiratory distress syndrome (ALI/ARDS)</t>
        </is>
      </c>
      <c r="E20" s="27" t="inlineStr">
        <is>
          <t>decreased</t>
        </is>
      </c>
      <c r="F20" s="22" t="inlineStr">
        <is>
          <t>disease_vs_control</t>
        </is>
      </c>
      <c r="G20" s="22" t="inlineStr">
        <is>
          <t>lung</t>
        </is>
      </c>
      <c r="H20" s="22" t="inlineStr"/>
      <c r="I20" s="22" t="inlineStr">
        <is>
          <t>high</t>
        </is>
      </c>
      <c r="J20" s="23" t="inlineStr">
        <is>
          <t>verified</t>
        </is>
      </c>
      <c r="K20" s="23" t="inlineStr">
        <is>
          <t>keep</t>
        </is>
      </c>
      <c r="L20" s="24" t="inlineStr">
        <is>
          <t>whereas Paramuribaculum, Escherichia Shigella, Enterobacter, Gp2, Brachybacterium, Lachnospira, and Olsenella were significantly decreased</t>
        </is>
      </c>
      <c r="M20" s="20" t="inlineStr"/>
      <c r="N20" s="21" t="inlineStr"/>
      <c r="O20" s="21" t="inlineStr"/>
    </row>
    <row r="21" ht="20" customHeight="1">
      <c r="A21" s="16" t="inlineStr">
        <is>
          <t>Lachnospira</t>
        </is>
      </c>
      <c r="B21" s="16" t="inlineStr">
        <is>
          <t>bacteria</t>
        </is>
      </c>
      <c r="C21" s="16" t="inlineStr">
        <is>
          <t>genus</t>
        </is>
      </c>
      <c r="D21" s="16" t="inlineStr">
        <is>
          <t>acute lung injury / acute respiratory distress syndrome (ALI/ARDS)</t>
        </is>
      </c>
      <c r="E21" s="27" t="inlineStr">
        <is>
          <t>decreased</t>
        </is>
      </c>
      <c r="F21" s="16" t="inlineStr">
        <is>
          <t>disease_vs_control</t>
        </is>
      </c>
      <c r="G21" s="16" t="inlineStr">
        <is>
          <t>lung</t>
        </is>
      </c>
      <c r="H21" s="16" t="inlineStr"/>
      <c r="I21" s="16" t="inlineStr">
        <is>
          <t>high</t>
        </is>
      </c>
      <c r="J21" s="18" t="inlineStr">
        <is>
          <t>verified</t>
        </is>
      </c>
      <c r="K21" s="18" t="inlineStr">
        <is>
          <t>keep</t>
        </is>
      </c>
      <c r="L21" s="19" t="inlineStr">
        <is>
          <t>whereas Paramuribaculum, Escherichia Shigella, Enterobacter, Gp2, Brachybacterium, Lachnospira, and Olsenella were significantly decreased</t>
        </is>
      </c>
      <c r="M21" s="20" t="inlineStr"/>
      <c r="N21" s="21" t="inlineStr"/>
      <c r="O21" s="21" t="inlineStr"/>
    </row>
    <row r="22" ht="20" customHeight="1">
      <c r="A22" s="22" t="inlineStr">
        <is>
          <t>Olsenella</t>
        </is>
      </c>
      <c r="B22" s="22" t="inlineStr">
        <is>
          <t>bacteria</t>
        </is>
      </c>
      <c r="C22" s="22" t="inlineStr">
        <is>
          <t>genus</t>
        </is>
      </c>
      <c r="D22" s="22" t="inlineStr">
        <is>
          <t>acute lung injury / acute respiratory distress syndrome (ALI/ARDS)</t>
        </is>
      </c>
      <c r="E22" s="27" t="inlineStr">
        <is>
          <t>decreased</t>
        </is>
      </c>
      <c r="F22" s="22" t="inlineStr">
        <is>
          <t>disease_vs_control</t>
        </is>
      </c>
      <c r="G22" s="22" t="inlineStr">
        <is>
          <t>lung</t>
        </is>
      </c>
      <c r="H22" s="22" t="inlineStr"/>
      <c r="I22" s="22" t="inlineStr">
        <is>
          <t>high</t>
        </is>
      </c>
      <c r="J22" s="23" t="inlineStr">
        <is>
          <t>verified</t>
        </is>
      </c>
      <c r="K22" s="23" t="inlineStr">
        <is>
          <t>keep</t>
        </is>
      </c>
      <c r="L22" s="24" t="inlineStr">
        <is>
          <t>whereas Paramuribaculum, Escherichia Shigella, Enterobacter, Gp2, Brachybacterium, Lachnospira, and Olsenella were significantly decreased</t>
        </is>
      </c>
      <c r="M22" s="20" t="inlineStr"/>
      <c r="N22" s="21" t="inlineStr"/>
      <c r="O22"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22" showDropDown="0" showInputMessage="0" showErrorMessage="0" allowBlank="1" type="list">
      <formula1>"approved,rejected,modified"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16"/>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451 — Characterization of the upper and lower respiratory tract microbiota in Piedmontese calves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Mycoplasma</t>
        </is>
      </c>
      <c r="B3" s="16" t="inlineStr">
        <is>
          <t>bacteria</t>
        </is>
      </c>
      <c r="C3" s="16" t="inlineStr">
        <is>
          <t>genus</t>
        </is>
      </c>
      <c r="D3" s="16" t="inlineStr">
        <is>
          <t>bovine respiratory disease (BRD)</t>
        </is>
      </c>
      <c r="E3" s="25" t="inlineStr">
        <is>
          <t>unchanged</t>
        </is>
      </c>
      <c r="F3" s="16" t="inlineStr">
        <is>
          <t>disease_vs_control</t>
        </is>
      </c>
      <c r="G3" s="16" t="inlineStr">
        <is>
          <t>respiratory</t>
        </is>
      </c>
      <c r="H3" s="16" t="inlineStr"/>
      <c r="I3" s="16" t="inlineStr">
        <is>
          <t>high</t>
        </is>
      </c>
      <c r="J3" s="18" t="inlineStr">
        <is>
          <t>verified</t>
        </is>
      </c>
      <c r="K3" s="18" t="inlineStr">
        <is>
          <t>keep</t>
        </is>
      </c>
      <c r="L3" s="19" t="inlineStr">
        <is>
          <t>no correlation was found between the presence or absence of clinical signs and microbial composition of the NS and the TTA samples (Adonis on Bray-Curtis dissimilarity, weighted UniFrac, or unweighted UniFrac distance; P &gt; 0. 05, power &gt; 90%)</t>
        </is>
      </c>
      <c r="M3" s="20" t="inlineStr"/>
      <c r="N3" s="21" t="inlineStr"/>
      <c r="O3" s="21" t="inlineStr"/>
    </row>
    <row r="4" ht="20" customHeight="1">
      <c r="A4" s="22" t="inlineStr">
        <is>
          <t>Mycoplasma</t>
        </is>
      </c>
      <c r="B4" s="22" t="inlineStr">
        <is>
          <t>bacteria</t>
        </is>
      </c>
      <c r="C4" s="22" t="inlineStr">
        <is>
          <t>genus</t>
        </is>
      </c>
      <c r="D4" s="22" t="inlineStr">
        <is>
          <t>bovine respiratory disease (BRD)</t>
        </is>
      </c>
      <c r="E4" s="17" t="inlineStr">
        <is>
          <t>increased</t>
        </is>
      </c>
      <c r="F4" s="22" t="inlineStr">
        <is>
          <t>disease_vs_control</t>
        </is>
      </c>
      <c r="G4" s="22" t="inlineStr">
        <is>
          <t>respiratory</t>
        </is>
      </c>
      <c r="H4" s="22" t="inlineStr"/>
      <c r="I4" s="22" t="inlineStr">
        <is>
          <t>low</t>
        </is>
      </c>
      <c r="J4" s="23" t="inlineStr">
        <is>
          <t>verified</t>
        </is>
      </c>
      <c r="K4" s="23" t="inlineStr">
        <is>
          <t>keep_flagged</t>
        </is>
      </c>
      <c r="L4" s="24" t="inlineStr">
        <is>
          <t>This genus was previously identified with high abundance in the upper respiratory airways of both healthy and BRD-affected calves</t>
        </is>
      </c>
      <c r="M4" s="20" t="inlineStr"/>
      <c r="N4" s="21" t="inlineStr"/>
      <c r="O4" s="21" t="inlineStr"/>
    </row>
    <row r="5" ht="20" customHeight="1">
      <c r="A5" s="16" t="inlineStr">
        <is>
          <t>Pasteurella multocida</t>
        </is>
      </c>
      <c r="B5" s="16" t="inlineStr">
        <is>
          <t>bacteria</t>
        </is>
      </c>
      <c r="C5" s="16" t="inlineStr">
        <is>
          <t>species</t>
        </is>
      </c>
      <c r="D5" s="16" t="inlineStr">
        <is>
          <t>bovine respiratory disease (BRD)</t>
        </is>
      </c>
      <c r="E5" s="25" t="inlineStr">
        <is>
          <t>unchanged</t>
        </is>
      </c>
      <c r="F5" s="16" t="inlineStr">
        <is>
          <t>disease_vs_control</t>
        </is>
      </c>
      <c r="G5" s="16" t="inlineStr">
        <is>
          <t>respiratory</t>
        </is>
      </c>
      <c r="H5" s="16" t="inlineStr"/>
      <c r="I5" s="16" t="inlineStr">
        <is>
          <t>high</t>
        </is>
      </c>
      <c r="J5" s="18" t="inlineStr">
        <is>
          <t>verified</t>
        </is>
      </c>
      <c r="K5" s="18" t="inlineStr">
        <is>
          <t>keep</t>
        </is>
      </c>
      <c r="L5" s="19" t="inlineStr">
        <is>
          <t>The absence of a significant difference in lower microbiota composition between healthy and BRD-affected calves suggests that P. multocida could be part of the microbial flora of the lower respiratory tract of healthy animals</t>
        </is>
      </c>
      <c r="M5" s="20" t="inlineStr"/>
      <c r="N5" s="21" t="inlineStr"/>
      <c r="O5" s="21" t="inlineStr"/>
    </row>
    <row r="6" ht="20" customHeight="1">
      <c r="A6" s="22" t="inlineStr">
        <is>
          <t>Mannheimia haemolytica</t>
        </is>
      </c>
      <c r="B6" s="22" t="inlineStr">
        <is>
          <t>bacteria</t>
        </is>
      </c>
      <c r="C6" s="22" t="inlineStr">
        <is>
          <t>species</t>
        </is>
      </c>
      <c r="D6" s="22" t="inlineStr">
        <is>
          <t>bovine respiratory disease (BRD)</t>
        </is>
      </c>
      <c r="E6" s="26" t="inlineStr">
        <is>
          <t>unclear</t>
        </is>
      </c>
      <c r="F6" s="22" t="inlineStr">
        <is>
          <t>disease_vs_control</t>
        </is>
      </c>
      <c r="G6" s="22" t="inlineStr">
        <is>
          <t>respiratory</t>
        </is>
      </c>
      <c r="H6" s="22" t="inlineStr"/>
      <c r="I6" s="22" t="inlineStr">
        <is>
          <t>low</t>
        </is>
      </c>
      <c r="J6" s="23" t="inlineStr">
        <is>
          <t>verified</t>
        </is>
      </c>
      <c r="K6" s="23" t="inlineStr">
        <is>
          <t>keep_flagged</t>
        </is>
      </c>
      <c r="L6" s="24" t="inlineStr">
        <is>
          <t>The bacterial pathogens most often identified by culture-based methods in the course of BRD are Mannheimia haemolytica, Pasteurella multocida, Histophilus somni, and Mycoplasma bovis</t>
        </is>
      </c>
      <c r="M6" s="20" t="inlineStr"/>
      <c r="N6" s="21" t="inlineStr"/>
      <c r="O6" s="21" t="inlineStr"/>
    </row>
    <row r="7" ht="20" customHeight="1">
      <c r="A7" s="16" t="inlineStr">
        <is>
          <t>Mycoplasma bovis</t>
        </is>
      </c>
      <c r="B7" s="16" t="inlineStr">
        <is>
          <t>bacteria</t>
        </is>
      </c>
      <c r="C7" s="16" t="inlineStr">
        <is>
          <t>species</t>
        </is>
      </c>
      <c r="D7" s="16" t="inlineStr">
        <is>
          <t>bovine respiratory disease (BRD)</t>
        </is>
      </c>
      <c r="E7" s="26" t="inlineStr">
        <is>
          <t>unclear</t>
        </is>
      </c>
      <c r="F7" s="16" t="inlineStr">
        <is>
          <t>disease_vs_control</t>
        </is>
      </c>
      <c r="G7" s="16" t="inlineStr">
        <is>
          <t>respiratory</t>
        </is>
      </c>
      <c r="H7" s="16" t="inlineStr"/>
      <c r="I7" s="16" t="inlineStr">
        <is>
          <t>low</t>
        </is>
      </c>
      <c r="J7" s="18" t="inlineStr">
        <is>
          <t>verified</t>
        </is>
      </c>
      <c r="K7" s="18" t="inlineStr">
        <is>
          <t>keep_flagged</t>
        </is>
      </c>
      <c r="L7" s="19" t="inlineStr">
        <is>
          <t>Although M. bovis is recognized as a major etiologic agent in BRD and otitis media, less is known about other Mycoplasma spp., e. g., M. dispar and M. bovirhinis, which have been detected less frequently in the bovine respiratory tract</t>
        </is>
      </c>
      <c r="M7" s="20" t="inlineStr"/>
      <c r="N7" s="21" t="inlineStr"/>
      <c r="O7" s="21" t="inlineStr"/>
    </row>
    <row r="8" ht="20" customHeight="1">
      <c r="A8" s="22" t="inlineStr">
        <is>
          <t>Moraxella</t>
        </is>
      </c>
      <c r="B8" s="22" t="inlineStr">
        <is>
          <t>bacteria</t>
        </is>
      </c>
      <c r="C8" s="22" t="inlineStr">
        <is>
          <t>genus</t>
        </is>
      </c>
      <c r="D8" s="22" t="inlineStr">
        <is>
          <t>bovine respiratory disease (BRD)</t>
        </is>
      </c>
      <c r="E8" s="26" t="inlineStr">
        <is>
          <t>unclear</t>
        </is>
      </c>
      <c r="F8" s="22" t="inlineStr">
        <is>
          <t>disease_vs_control</t>
        </is>
      </c>
      <c r="G8" s="22" t="inlineStr">
        <is>
          <t>nasal</t>
        </is>
      </c>
      <c r="H8" s="22" t="inlineStr"/>
      <c r="I8" s="22" t="inlineStr">
        <is>
          <t>low</t>
        </is>
      </c>
      <c r="J8" s="23" t="inlineStr">
        <is>
          <t>verified</t>
        </is>
      </c>
      <c r="K8" s="23" t="inlineStr">
        <is>
          <t>keep_flagged</t>
        </is>
      </c>
      <c r="L8" s="24" t="inlineStr">
        <is>
          <t>Lima et al. [31] also found a correlation between the presence of Moraxella and the development of BRD</t>
        </is>
      </c>
      <c r="M8" s="20" t="inlineStr"/>
      <c r="N8" s="21" t="inlineStr"/>
      <c r="O8" s="21" t="inlineStr"/>
    </row>
    <row r="9" ht="20" customHeight="1">
      <c r="A9" s="16" t="inlineStr">
        <is>
          <t>Fusobacteria</t>
        </is>
      </c>
      <c r="B9" s="16" t="inlineStr">
        <is>
          <t>bacteria</t>
        </is>
      </c>
      <c r="C9" s="16" t="inlineStr">
        <is>
          <t>phylum</t>
        </is>
      </c>
      <c r="D9" s="16" t="inlineStr">
        <is>
          <t>bovine respiratory disease (BRD)</t>
        </is>
      </c>
      <c r="E9" s="17" t="inlineStr">
        <is>
          <t>increased</t>
        </is>
      </c>
      <c r="F9" s="16" t="inlineStr">
        <is>
          <t>disease_vs_control</t>
        </is>
      </c>
      <c r="G9" s="16" t="inlineStr">
        <is>
          <t>respiratory</t>
        </is>
      </c>
      <c r="H9" s="16" t="inlineStr"/>
      <c r="I9" s="16" t="inlineStr">
        <is>
          <t>low</t>
        </is>
      </c>
      <c r="J9" s="18" t="inlineStr">
        <is>
          <t>verified</t>
        </is>
      </c>
      <c r="K9" s="18" t="inlineStr">
        <is>
          <t>keep_flagged</t>
        </is>
      </c>
      <c r="L9" s="19" t="inlineStr">
        <is>
          <t>Fusobacteria seemed to be characteristic of this ecosystem. Identification of this phylum in the bovine upper respiratory tract has rarely been reported and each time with low abundance</t>
        </is>
      </c>
      <c r="M9" s="20" t="inlineStr"/>
      <c r="N9" s="21" t="inlineStr"/>
      <c r="O9" s="21" t="inlineStr"/>
    </row>
    <row r="10" ht="20" customHeight="1">
      <c r="A10" s="22" t="inlineStr">
        <is>
          <t>Tenericutes</t>
        </is>
      </c>
      <c r="B10" s="22" t="inlineStr">
        <is>
          <t>bacteria</t>
        </is>
      </c>
      <c r="C10" s="22" t="inlineStr">
        <is>
          <t>phylum</t>
        </is>
      </c>
      <c r="D10" s="22" t="inlineStr">
        <is>
          <t>bovine respiratory disease (BRD)</t>
        </is>
      </c>
      <c r="E10" s="25" t="inlineStr">
        <is>
          <t>unchanged</t>
        </is>
      </c>
      <c r="F10" s="22" t="inlineStr">
        <is>
          <t>disease_vs_control</t>
        </is>
      </c>
      <c r="G10" s="22" t="inlineStr">
        <is>
          <t>respiratory</t>
        </is>
      </c>
      <c r="H10" s="22" t="inlineStr"/>
      <c r="I10" s="22" t="inlineStr">
        <is>
          <t>high</t>
        </is>
      </c>
      <c r="J10" s="23" t="inlineStr">
        <is>
          <t>verified</t>
        </is>
      </c>
      <c r="K10" s="23" t="inlineStr">
        <is>
          <t>keep</t>
        </is>
      </c>
      <c r="L10" s="24" t="inlineStr">
        <is>
          <t>no correlation was found between the presence or absence of clinical signs and microbial composition of the NS and the TTA samples (Adonis on Bray-Curtis dissimilarity, weighted UniFrac, or unweighted UniFrac distance; P &gt; 0. 05, power &gt; 90%)</t>
        </is>
      </c>
      <c r="M10" s="20" t="inlineStr"/>
      <c r="N10" s="21" t="inlineStr"/>
      <c r="O10" s="21" t="inlineStr"/>
    </row>
    <row r="11" ht="20" customHeight="1">
      <c r="A11" s="16" t="inlineStr">
        <is>
          <t>Proteobacteria</t>
        </is>
      </c>
      <c r="B11" s="16" t="inlineStr">
        <is>
          <t>bacteria</t>
        </is>
      </c>
      <c r="C11" s="16" t="inlineStr">
        <is>
          <t>phylum</t>
        </is>
      </c>
      <c r="D11" s="16" t="inlineStr">
        <is>
          <t>bovine respiratory disease (BRD)</t>
        </is>
      </c>
      <c r="E11" s="25" t="inlineStr">
        <is>
          <t>unchanged</t>
        </is>
      </c>
      <c r="F11" s="16" t="inlineStr">
        <is>
          <t>disease_vs_control</t>
        </is>
      </c>
      <c r="G11" s="16" t="inlineStr">
        <is>
          <t>respiratory</t>
        </is>
      </c>
      <c r="H11" s="16" t="inlineStr"/>
      <c r="I11" s="16" t="inlineStr">
        <is>
          <t>high</t>
        </is>
      </c>
      <c r="J11" s="18" t="inlineStr">
        <is>
          <t>verified</t>
        </is>
      </c>
      <c r="K11" s="18" t="inlineStr">
        <is>
          <t>keep</t>
        </is>
      </c>
      <c r="L11" s="19" t="inlineStr">
        <is>
          <t>no correlation was found between the presence or absence of clinical signs and microbial composition of the NS and the TTA samples (Adonis on Bray-Curtis dissimilarity, weighted UniFrac, or unweighted UniFrac distance; P &gt; 0. 05, power &gt; 90%)</t>
        </is>
      </c>
      <c r="M11" s="20" t="inlineStr"/>
      <c r="N11" s="21" t="inlineStr"/>
      <c r="O11" s="21" t="inlineStr"/>
    </row>
    <row r="12" ht="20" customHeight="1">
      <c r="A12" s="22" t="inlineStr">
        <is>
          <t>Corynebacterium</t>
        </is>
      </c>
      <c r="B12" s="22" t="inlineStr">
        <is>
          <t>bacteria</t>
        </is>
      </c>
      <c r="C12" s="22" t="inlineStr">
        <is>
          <t>genus</t>
        </is>
      </c>
      <c r="D12" s="22" t="inlineStr">
        <is>
          <t>bovine respiratory disease (BRD)</t>
        </is>
      </c>
      <c r="E12" s="26" t="inlineStr">
        <is>
          <t>unclear</t>
        </is>
      </c>
      <c r="F12" s="22" t="inlineStr">
        <is>
          <t>disease_vs_control</t>
        </is>
      </c>
      <c r="G12" s="22" t="inlineStr">
        <is>
          <t>nasal</t>
        </is>
      </c>
      <c r="H12" s="22" t="inlineStr"/>
      <c r="I12" s="22" t="inlineStr">
        <is>
          <t>low</t>
        </is>
      </c>
      <c r="J12" s="23" t="inlineStr">
        <is>
          <t>verified</t>
        </is>
      </c>
      <c r="K12" s="23" t="inlineStr">
        <is>
          <t>keep_flagged</t>
        </is>
      </c>
      <c r="L12" s="24" t="inlineStr">
        <is>
          <t>Corynebacterium was identified in all NS samples, and previous studies have reported its relatively high abundance in the bovine upper respiratory tract [25, 26, 31]. In children, it has been correlated with a reduced risk of developing otitis media and respiratory disease</t>
        </is>
      </c>
      <c r="M12" s="20" t="inlineStr"/>
      <c r="N12" s="21" t="inlineStr"/>
      <c r="O12" s="21" t="inlineStr"/>
    </row>
    <row r="13" ht="20" customHeight="1">
      <c r="A13" s="16" t="inlineStr">
        <is>
          <t>Histophilus somni</t>
        </is>
      </c>
      <c r="B13" s="16" t="inlineStr">
        <is>
          <t>bacteria</t>
        </is>
      </c>
      <c r="C13" s="16" t="inlineStr">
        <is>
          <t>species</t>
        </is>
      </c>
      <c r="D13" s="16" t="inlineStr">
        <is>
          <t>bovine respiratory disease (BRD)</t>
        </is>
      </c>
      <c r="E13" s="26" t="inlineStr">
        <is>
          <t>unclear</t>
        </is>
      </c>
      <c r="F13" s="16" t="inlineStr">
        <is>
          <t>disease_vs_control</t>
        </is>
      </c>
      <c r="G13" s="16" t="inlineStr">
        <is>
          <t>respiratory</t>
        </is>
      </c>
      <c r="H13" s="16" t="inlineStr"/>
      <c r="I13" s="16" t="inlineStr">
        <is>
          <t>low</t>
        </is>
      </c>
      <c r="J13" s="18" t="inlineStr">
        <is>
          <t>verified</t>
        </is>
      </c>
      <c r="K13" s="18" t="inlineStr">
        <is>
          <t>keep_flagged</t>
        </is>
      </c>
      <c r="L13" s="19" t="inlineStr">
        <is>
          <t>The bacterial pathogens most often identified by culture-based methods in the course of BRD are Mannheimia haemolytica, Pasteurella multocida, Histophilus somni, and Mycoplasma bovis</t>
        </is>
      </c>
      <c r="M13" s="20" t="inlineStr"/>
      <c r="N13" s="21" t="inlineStr"/>
      <c r="O13" s="21" t="inlineStr"/>
    </row>
    <row r="14" ht="20" customHeight="1">
      <c r="A14" s="22" t="inlineStr">
        <is>
          <t>Moraxella bovis</t>
        </is>
      </c>
      <c r="B14" s="22" t="inlineStr">
        <is>
          <t>bacteria</t>
        </is>
      </c>
      <c r="C14" s="22" t="inlineStr">
        <is>
          <t>species</t>
        </is>
      </c>
      <c r="D14" s="22" t="inlineStr">
        <is>
          <t>infectious bovine keratoconjunctivitis</t>
        </is>
      </c>
      <c r="E14" s="26" t="inlineStr">
        <is>
          <t>unclear</t>
        </is>
      </c>
      <c r="F14" s="22" t="inlineStr">
        <is>
          <t>disease_vs_control</t>
        </is>
      </c>
      <c r="G14" s="22" t="inlineStr">
        <is>
          <t>other</t>
        </is>
      </c>
      <c r="H14" s="22" t="inlineStr"/>
      <c r="I14" s="22" t="inlineStr">
        <is>
          <t>low</t>
        </is>
      </c>
      <c r="J14" s="23" t="inlineStr">
        <is>
          <t>verified</t>
        </is>
      </c>
      <c r="K14" s="23" t="inlineStr">
        <is>
          <t>keep_flagged</t>
        </is>
      </c>
      <c r="L14" s="24" t="inlineStr">
        <is>
          <t>In cattle, Moraxella bovis is the etiological agent of infectious bovine keratoconjunctivitis (IBK), and Moraxella genus has rarely been isolated in the course of BRD</t>
        </is>
      </c>
      <c r="M14" s="20" t="inlineStr"/>
      <c r="N14" s="21" t="inlineStr"/>
      <c r="O14" s="21" t="inlineStr"/>
    </row>
    <row r="15" ht="20" customHeight="1">
      <c r="A15" s="16" t="inlineStr">
        <is>
          <t>Mannheimia</t>
        </is>
      </c>
      <c r="B15" s="16" t="inlineStr">
        <is>
          <t>bacteria</t>
        </is>
      </c>
      <c r="C15" s="16" t="inlineStr">
        <is>
          <t>genus</t>
        </is>
      </c>
      <c r="D15" s="16" t="inlineStr">
        <is>
          <t>bovine respiratory disease (BRD)</t>
        </is>
      </c>
      <c r="E15" s="25" t="inlineStr">
        <is>
          <t>unchanged</t>
        </is>
      </c>
      <c r="F15" s="16" t="inlineStr">
        <is>
          <t>disease_vs_control</t>
        </is>
      </c>
      <c r="G15" s="16" t="inlineStr">
        <is>
          <t>respiratory</t>
        </is>
      </c>
      <c r="H15" s="16" t="inlineStr"/>
      <c r="I15" s="16" t="inlineStr">
        <is>
          <t>medium</t>
        </is>
      </c>
      <c r="J15" s="18" t="inlineStr">
        <is>
          <t>verified</t>
        </is>
      </c>
      <c r="K15" s="18" t="inlineStr">
        <is>
          <t>keep</t>
        </is>
      </c>
      <c r="L15" s="19" t="inlineStr">
        <is>
          <t>A few other genera with an abundance &gt; 1% were also found in... the TTA samples [Mannheimia 1. 6% (0. 7% ± 0. 6%), Bacteroides 1. 5% (1. 8% ± 1. 8%), Ureaplasma 1. 3% (1. 2% ± 0. 6%)]</t>
        </is>
      </c>
      <c r="M15" s="20" t="inlineStr"/>
      <c r="N15" s="21" t="inlineStr"/>
      <c r="O15" s="21" t="inlineStr"/>
    </row>
    <row r="16" ht="20" customHeight="1">
      <c r="A16" s="22" t="inlineStr">
        <is>
          <t>Ureaplasma</t>
        </is>
      </c>
      <c r="B16" s="22" t="inlineStr">
        <is>
          <t>bacteria</t>
        </is>
      </c>
      <c r="C16" s="22" t="inlineStr">
        <is>
          <t>genus</t>
        </is>
      </c>
      <c r="D16" s="22" t="inlineStr">
        <is>
          <t>bovine respiratory disease (BRD)</t>
        </is>
      </c>
      <c r="E16" s="25" t="inlineStr">
        <is>
          <t>unchanged</t>
        </is>
      </c>
      <c r="F16" s="22" t="inlineStr">
        <is>
          <t>disease_vs_control</t>
        </is>
      </c>
      <c r="G16" s="22" t="inlineStr">
        <is>
          <t>respiratory</t>
        </is>
      </c>
      <c r="H16" s="22" t="inlineStr"/>
      <c r="I16" s="22" t="inlineStr">
        <is>
          <t>medium</t>
        </is>
      </c>
      <c r="J16" s="23" t="inlineStr">
        <is>
          <t>verified</t>
        </is>
      </c>
      <c r="K16" s="23" t="inlineStr">
        <is>
          <t>keep</t>
        </is>
      </c>
      <c r="L16" s="24" t="inlineStr">
        <is>
          <t>A few other genera with an abundance &gt; 1% were also found in... the TTA samples [Mannheimia 1. 6% (0. 7% ± 0. 6%), Bacteroides 1. 5% (1. 8% ± 1. 8%), Ureaplasma 1. 3% (1. 2% ± 0. 6%)]</t>
        </is>
      </c>
      <c r="M16" s="20" t="inlineStr"/>
      <c r="N16" s="21" t="inlineStr"/>
      <c r="O16"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6" showDropDown="0" showInputMessage="0" showErrorMessage="0" allowBlank="1" type="list">
      <formula1>"approved,rejected,modified"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17"/>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461 — Impact of Fecal Microbiota Transplantation on Gut Bacterial Bile Acid Metabolism in Humans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Roseburia</t>
        </is>
      </c>
      <c r="B3" s="16" t="inlineStr">
        <is>
          <t>bacteria</t>
        </is>
      </c>
      <c r="C3" s="16" t="inlineStr">
        <is>
          <t>genus</t>
        </is>
      </c>
      <c r="D3" s="16" t="inlineStr">
        <is>
          <t>type 2 diabetes mellitus</t>
        </is>
      </c>
      <c r="E3" s="27" t="inlineStr">
        <is>
          <t>decreased</t>
        </is>
      </c>
      <c r="F3" s="16" t="inlineStr">
        <is>
          <t>disease_vs_control</t>
        </is>
      </c>
      <c r="G3" s="16" t="inlineStr">
        <is>
          <t>fecal</t>
        </is>
      </c>
      <c r="H3" s="16" t="inlineStr"/>
      <c r="I3" s="16" t="inlineStr">
        <is>
          <t>low</t>
        </is>
      </c>
      <c r="J3" s="18" t="inlineStr">
        <is>
          <t>verified</t>
        </is>
      </c>
      <c r="K3" s="18" t="inlineStr">
        <is>
          <t>keep_flagged</t>
        </is>
      </c>
      <c r="L3" s="19" t="inlineStr">
        <is>
          <t>Roseburia and Faecalibacterium prausnitzii are differentially enriched in T2DM [1].</t>
        </is>
      </c>
      <c r="M3" s="20" t="inlineStr"/>
      <c r="N3" s="21" t="inlineStr"/>
      <c r="O3" s="21" t="inlineStr"/>
    </row>
    <row r="4" ht="20" customHeight="1">
      <c r="A4" s="22" t="inlineStr">
        <is>
          <t>Faecalibacterium prausnitzii</t>
        </is>
      </c>
      <c r="B4" s="22" t="inlineStr">
        <is>
          <t>bacteria</t>
        </is>
      </c>
      <c r="C4" s="22" t="inlineStr">
        <is>
          <t>species</t>
        </is>
      </c>
      <c r="D4" s="22" t="inlineStr">
        <is>
          <t>type 2 diabetes mellitus</t>
        </is>
      </c>
      <c r="E4" s="27" t="inlineStr">
        <is>
          <t>decreased</t>
        </is>
      </c>
      <c r="F4" s="22" t="inlineStr">
        <is>
          <t>disease_vs_control</t>
        </is>
      </c>
      <c r="G4" s="22" t="inlineStr">
        <is>
          <t>fecal</t>
        </is>
      </c>
      <c r="H4" s="22" t="inlineStr"/>
      <c r="I4" s="22" t="inlineStr">
        <is>
          <t>low</t>
        </is>
      </c>
      <c r="J4" s="23" t="inlineStr">
        <is>
          <t>verified</t>
        </is>
      </c>
      <c r="K4" s="23" t="inlineStr">
        <is>
          <t>keep_flagged</t>
        </is>
      </c>
      <c r="L4" s="24" t="inlineStr">
        <is>
          <t>Roseburia and Faecalibacterium prausnitzii are differentially enriched in T2DM [1].</t>
        </is>
      </c>
      <c r="M4" s="20" t="inlineStr"/>
      <c r="N4" s="21" t="inlineStr"/>
      <c r="O4" s="21" t="inlineStr"/>
    </row>
    <row r="5" ht="20" customHeight="1">
      <c r="A5" s="16" t="inlineStr">
        <is>
          <t>Bacteroidetes</t>
        </is>
      </c>
      <c r="B5" s="16" t="inlineStr">
        <is>
          <t>bacteria</t>
        </is>
      </c>
      <c r="C5" s="16" t="inlineStr">
        <is>
          <t>phylum</t>
        </is>
      </c>
      <c r="D5" s="16" t="inlineStr">
        <is>
          <t>obesity</t>
        </is>
      </c>
      <c r="E5" s="27" t="inlineStr">
        <is>
          <t>decreased</t>
        </is>
      </c>
      <c r="F5" s="16" t="inlineStr">
        <is>
          <t>disease_vs_control</t>
        </is>
      </c>
      <c r="G5" s="16" t="inlineStr">
        <is>
          <t>fecal</t>
        </is>
      </c>
      <c r="H5" s="16" t="inlineStr"/>
      <c r="I5" s="16" t="inlineStr">
        <is>
          <t>low</t>
        </is>
      </c>
      <c r="J5" s="18" t="inlineStr">
        <is>
          <t>verified</t>
        </is>
      </c>
      <c r="K5" s="18" t="inlineStr">
        <is>
          <t>keep_flagged</t>
        </is>
      </c>
      <c r="L5" s="19" t="inlineStr">
        <is>
          <t>decreases in Bacteroidetes and increases in Actinobacteria and Firmicutes are associated with obesity [2,3].</t>
        </is>
      </c>
      <c r="M5" s="20" t="inlineStr"/>
      <c r="N5" s="21" t="inlineStr"/>
      <c r="O5" s="21" t="inlineStr"/>
    </row>
    <row r="6" ht="20" customHeight="1">
      <c r="A6" s="22" t="inlineStr">
        <is>
          <t>Actinobacteria</t>
        </is>
      </c>
      <c r="B6" s="22" t="inlineStr">
        <is>
          <t>bacteria</t>
        </is>
      </c>
      <c r="C6" s="22" t="inlineStr">
        <is>
          <t>phylum</t>
        </is>
      </c>
      <c r="D6" s="22" t="inlineStr">
        <is>
          <t>obesity</t>
        </is>
      </c>
      <c r="E6" s="17" t="inlineStr">
        <is>
          <t>increased</t>
        </is>
      </c>
      <c r="F6" s="22" t="inlineStr">
        <is>
          <t>disease_vs_control</t>
        </is>
      </c>
      <c r="G6" s="22" t="inlineStr">
        <is>
          <t>fecal</t>
        </is>
      </c>
      <c r="H6" s="22" t="inlineStr"/>
      <c r="I6" s="22" t="inlineStr">
        <is>
          <t>low</t>
        </is>
      </c>
      <c r="J6" s="23" t="inlineStr">
        <is>
          <t>verified</t>
        </is>
      </c>
      <c r="K6" s="23" t="inlineStr">
        <is>
          <t>keep_flagged</t>
        </is>
      </c>
      <c r="L6" s="24" t="inlineStr">
        <is>
          <t>decreases in Bacteroidetes and increases in Actinobacteria and Firmicutes are associated with obesity [2,3].</t>
        </is>
      </c>
      <c r="M6" s="20" t="inlineStr"/>
      <c r="N6" s="21" t="inlineStr"/>
      <c r="O6" s="21" t="inlineStr"/>
    </row>
    <row r="7" ht="20" customHeight="1">
      <c r="A7" s="16" t="inlineStr">
        <is>
          <t>Firmicutes</t>
        </is>
      </c>
      <c r="B7" s="16" t="inlineStr">
        <is>
          <t>bacteria</t>
        </is>
      </c>
      <c r="C7" s="16" t="inlineStr">
        <is>
          <t>phylum</t>
        </is>
      </c>
      <c r="D7" s="16" t="inlineStr">
        <is>
          <t>obesity</t>
        </is>
      </c>
      <c r="E7" s="17" t="inlineStr">
        <is>
          <t>increased</t>
        </is>
      </c>
      <c r="F7" s="16" t="inlineStr">
        <is>
          <t>disease_vs_control</t>
        </is>
      </c>
      <c r="G7" s="16" t="inlineStr">
        <is>
          <t>fecal</t>
        </is>
      </c>
      <c r="H7" s="16" t="inlineStr"/>
      <c r="I7" s="16" t="inlineStr">
        <is>
          <t>low</t>
        </is>
      </c>
      <c r="J7" s="18" t="inlineStr">
        <is>
          <t>verified</t>
        </is>
      </c>
      <c r="K7" s="18" t="inlineStr">
        <is>
          <t>keep_flagged</t>
        </is>
      </c>
      <c r="L7" s="19" t="inlineStr">
        <is>
          <t>decreases in Bacteroidetes and increases in Actinobacteria and Firmicutes are associated with obesity [2,3].</t>
        </is>
      </c>
      <c r="M7" s="20" t="inlineStr"/>
      <c r="N7" s="21" t="inlineStr"/>
      <c r="O7" s="21" t="inlineStr"/>
    </row>
    <row r="8" ht="20" customHeight="1">
      <c r="A8" s="22" t="inlineStr">
        <is>
          <t>Paraprevotella</t>
        </is>
      </c>
      <c r="B8" s="22" t="inlineStr">
        <is>
          <t>bacteria</t>
        </is>
      </c>
      <c r="C8" s="22" t="inlineStr">
        <is>
          <t>genus</t>
        </is>
      </c>
      <c r="D8" s="22" t="inlineStr">
        <is>
          <t>obesity / metabolic disease</t>
        </is>
      </c>
      <c r="E8" s="17" t="inlineStr">
        <is>
          <t>increased</t>
        </is>
      </c>
      <c r="F8" s="22" t="inlineStr">
        <is>
          <t>treatment_effect</t>
        </is>
      </c>
      <c r="G8" s="22" t="inlineStr">
        <is>
          <t>fecal</t>
        </is>
      </c>
      <c r="H8" s="22" t="inlineStr">
        <is>
          <t>&lt; 0.05</t>
        </is>
      </c>
      <c r="I8" s="22" t="inlineStr">
        <is>
          <t>high</t>
        </is>
      </c>
      <c r="J8" s="23" t="inlineStr">
        <is>
          <t>verified</t>
        </is>
      </c>
      <c r="K8" s="23" t="inlineStr">
        <is>
          <t>keep</t>
        </is>
      </c>
      <c r="L8" s="24" t="inlineStr">
        <is>
          <t>At the genus level, FMT-enriched Paraprevotella and Longibaculum (Figure 2B,C, p &lt; 0. 05) compared to placebo</t>
        </is>
      </c>
      <c r="M8" s="20" t="inlineStr"/>
      <c r="N8" s="21" t="inlineStr"/>
      <c r="O8" s="21" t="inlineStr"/>
    </row>
    <row r="9" ht="20" customHeight="1">
      <c r="A9" s="16" t="inlineStr">
        <is>
          <t>Longibaculum</t>
        </is>
      </c>
      <c r="B9" s="16" t="inlineStr">
        <is>
          <t>bacteria</t>
        </is>
      </c>
      <c r="C9" s="16" t="inlineStr">
        <is>
          <t>genus</t>
        </is>
      </c>
      <c r="D9" s="16" t="inlineStr">
        <is>
          <t>obesity / metabolic disease</t>
        </is>
      </c>
      <c r="E9" s="17" t="inlineStr">
        <is>
          <t>increased</t>
        </is>
      </c>
      <c r="F9" s="16" t="inlineStr">
        <is>
          <t>treatment_effect</t>
        </is>
      </c>
      <c r="G9" s="16" t="inlineStr">
        <is>
          <t>fecal</t>
        </is>
      </c>
      <c r="H9" s="16" t="inlineStr">
        <is>
          <t>&lt; 0.05</t>
        </is>
      </c>
      <c r="I9" s="16" t="inlineStr">
        <is>
          <t>high</t>
        </is>
      </c>
      <c r="J9" s="18" t="inlineStr">
        <is>
          <t>verified</t>
        </is>
      </c>
      <c r="K9" s="18" t="inlineStr">
        <is>
          <t>keep</t>
        </is>
      </c>
      <c r="L9" s="19" t="inlineStr">
        <is>
          <t>At the genus level, FMT-enriched Paraprevotella and Longibaculum (Figure 2B,C, p &lt; 0. 05) compared to placebo</t>
        </is>
      </c>
      <c r="M9" s="20" t="inlineStr"/>
      <c r="N9" s="21" t="inlineStr"/>
      <c r="O9" s="21" t="inlineStr"/>
    </row>
    <row r="10" ht="20" customHeight="1">
      <c r="A10" s="22" t="inlineStr">
        <is>
          <t>Clostridium hylemonae</t>
        </is>
      </c>
      <c r="B10" s="22" t="inlineStr">
        <is>
          <t>bacteria</t>
        </is>
      </c>
      <c r="C10" s="22" t="inlineStr">
        <is>
          <t>species</t>
        </is>
      </c>
      <c r="D10" s="22" t="inlineStr">
        <is>
          <t>obesity / metabolic disease</t>
        </is>
      </c>
      <c r="E10" s="17" t="inlineStr">
        <is>
          <t>increased</t>
        </is>
      </c>
      <c r="F10" s="22" t="inlineStr">
        <is>
          <t>treatment_effect</t>
        </is>
      </c>
      <c r="G10" s="22" t="inlineStr">
        <is>
          <t>fecal</t>
        </is>
      </c>
      <c r="H10" s="22" t="inlineStr"/>
      <c r="I10" s="22" t="inlineStr">
        <is>
          <t>medium</t>
        </is>
      </c>
      <c r="J10" s="23" t="inlineStr">
        <is>
          <t>verified</t>
        </is>
      </c>
      <c r="K10" s="23" t="inlineStr">
        <is>
          <t>keep</t>
        </is>
      </c>
      <c r="L10" s="24" t="inlineStr">
        <is>
          <t>FMT tended to increase the relative abundance of Clostridium hylemonae, a bacterial species known to convert primary to secondary bile acids (Figure 2D)</t>
        </is>
      </c>
      <c r="M10" s="20" t="inlineStr"/>
      <c r="N10" s="21" t="inlineStr"/>
      <c r="O10" s="21" t="inlineStr"/>
    </row>
    <row r="11" ht="20" customHeight="1">
      <c r="A11" s="16" t="inlineStr">
        <is>
          <t>Desulfovibrio fairfieldensis</t>
        </is>
      </c>
      <c r="B11" s="16" t="inlineStr">
        <is>
          <t>bacteria</t>
        </is>
      </c>
      <c r="C11" s="16" t="inlineStr">
        <is>
          <t>species</t>
        </is>
      </c>
      <c r="D11" s="16" t="inlineStr">
        <is>
          <t>obesity / metabolic disease</t>
        </is>
      </c>
      <c r="E11" s="17" t="inlineStr">
        <is>
          <t>increased</t>
        </is>
      </c>
      <c r="F11" s="16" t="inlineStr">
        <is>
          <t>treatment_effect</t>
        </is>
      </c>
      <c r="G11" s="16" t="inlineStr">
        <is>
          <t>fecal</t>
        </is>
      </c>
      <c r="H11" s="16" t="inlineStr">
        <is>
          <t>&lt; 0.05</t>
        </is>
      </c>
      <c r="I11" s="16" t="inlineStr">
        <is>
          <t>high</t>
        </is>
      </c>
      <c r="J11" s="18" t="inlineStr">
        <is>
          <t>verified</t>
        </is>
      </c>
      <c r="K11" s="18" t="inlineStr">
        <is>
          <t>keep</t>
        </is>
      </c>
      <c r="L11" s="19" t="inlineStr">
        <is>
          <t>FMT increased Desulfovibrio fairfieldensis compared with placebo (Figure 2E, p &lt; 0. 05)</t>
        </is>
      </c>
      <c r="M11" s="20" t="inlineStr"/>
      <c r="N11" s="21" t="inlineStr"/>
      <c r="O11" s="21" t="inlineStr"/>
    </row>
    <row r="12" ht="20" customHeight="1">
      <c r="A12" s="22" t="inlineStr">
        <is>
          <t>Phocaeicola dorei</t>
        </is>
      </c>
      <c r="B12" s="22" t="inlineStr">
        <is>
          <t>bacteria</t>
        </is>
      </c>
      <c r="C12" s="22" t="inlineStr">
        <is>
          <t>species</t>
        </is>
      </c>
      <c r="D12" s="22" t="inlineStr">
        <is>
          <t>obesity / metabolic disease</t>
        </is>
      </c>
      <c r="E12" s="17" t="inlineStr">
        <is>
          <t>increased</t>
        </is>
      </c>
      <c r="F12" s="22" t="inlineStr">
        <is>
          <t>treatment_effect</t>
        </is>
      </c>
      <c r="G12" s="22" t="inlineStr">
        <is>
          <t>fecal</t>
        </is>
      </c>
      <c r="H12" s="22" t="inlineStr">
        <is>
          <t>7.47e-45</t>
        </is>
      </c>
      <c r="I12" s="22" t="inlineStr">
        <is>
          <t>high</t>
        </is>
      </c>
      <c r="J12" s="23" t="inlineStr">
        <is>
          <t>verified</t>
        </is>
      </c>
      <c r="K12" s="23" t="inlineStr">
        <is>
          <t>keep</t>
        </is>
      </c>
      <c r="L12" s="24" t="inlineStr">
        <is>
          <t>Phocaeicola dorei and Bacteroides ovatus were positively correlated with unconjugated chenodeoxycholic acid (CDCA) (p = 7. 47 × 10−45 and 2. 50 × 10−8)</t>
        </is>
      </c>
      <c r="M12" s="20" t="inlineStr"/>
      <c r="N12" s="21" t="inlineStr"/>
      <c r="O12" s="21" t="inlineStr"/>
    </row>
    <row r="13" ht="20" customHeight="1">
      <c r="A13" s="16" t="inlineStr">
        <is>
          <t>Bacteroides ovatus</t>
        </is>
      </c>
      <c r="B13" s="16" t="inlineStr">
        <is>
          <t>bacteria</t>
        </is>
      </c>
      <c r="C13" s="16" t="inlineStr">
        <is>
          <t>species</t>
        </is>
      </c>
      <c r="D13" s="16" t="inlineStr">
        <is>
          <t>obesity / metabolic disease</t>
        </is>
      </c>
      <c r="E13" s="17" t="inlineStr">
        <is>
          <t>increased</t>
        </is>
      </c>
      <c r="F13" s="16" t="inlineStr">
        <is>
          <t>treatment_effect</t>
        </is>
      </c>
      <c r="G13" s="16" t="inlineStr">
        <is>
          <t>fecal</t>
        </is>
      </c>
      <c r="H13" s="16" t="inlineStr">
        <is>
          <t>2.50e-8</t>
        </is>
      </c>
      <c r="I13" s="16" t="inlineStr">
        <is>
          <t>high</t>
        </is>
      </c>
      <c r="J13" s="18" t="inlineStr">
        <is>
          <t>verified</t>
        </is>
      </c>
      <c r="K13" s="18" t="inlineStr">
        <is>
          <t>keep</t>
        </is>
      </c>
      <c r="L13" s="19" t="inlineStr">
        <is>
          <t>Phocaeicola dorei and Bacteroides ovatus were positively correlated with unconjugated chenodeoxycholic acid (CDCA) (p = 7. 47 × 10−45 and 2. 50 × 10−8)</t>
        </is>
      </c>
      <c r="M13" s="20" t="inlineStr"/>
      <c r="N13" s="21" t="inlineStr"/>
      <c r="O13" s="21" t="inlineStr"/>
    </row>
    <row r="14" ht="20" customHeight="1">
      <c r="A14" s="22" t="inlineStr">
        <is>
          <t>Bacteroides ovatus</t>
        </is>
      </c>
      <c r="B14" s="22" t="inlineStr">
        <is>
          <t>bacteria</t>
        </is>
      </c>
      <c r="C14" s="22" t="inlineStr">
        <is>
          <t>species</t>
        </is>
      </c>
      <c r="D14" s="22" t="inlineStr">
        <is>
          <t>obesity / metabolic disease</t>
        </is>
      </c>
      <c r="E14" s="17" t="inlineStr">
        <is>
          <t>increased</t>
        </is>
      </c>
      <c r="F14" s="22" t="inlineStr">
        <is>
          <t>treatment_effect</t>
        </is>
      </c>
      <c r="G14" s="22" t="inlineStr">
        <is>
          <t>fecal</t>
        </is>
      </c>
      <c r="H14" s="22" t="inlineStr">
        <is>
          <t>0.0317</t>
        </is>
      </c>
      <c r="I14" s="22" t="inlineStr">
        <is>
          <t>high</t>
        </is>
      </c>
      <c r="J14" s="23" t="inlineStr">
        <is>
          <t>verified</t>
        </is>
      </c>
      <c r="K14" s="23" t="inlineStr">
        <is>
          <t>keep</t>
        </is>
      </c>
      <c r="L14" s="24" t="inlineStr">
        <is>
          <t>The same strain of B. ovatus was positively correlated with unconjugated cholic acid (CA) (p = 0. 0317)</t>
        </is>
      </c>
      <c r="M14" s="20" t="inlineStr"/>
      <c r="N14" s="21" t="inlineStr"/>
      <c r="O14" s="21" t="inlineStr"/>
    </row>
    <row r="15" ht="20" customHeight="1">
      <c r="A15" s="16" t="inlineStr">
        <is>
          <t>Bifidobacterium adolescentis</t>
        </is>
      </c>
      <c r="B15" s="16" t="inlineStr">
        <is>
          <t>bacteria</t>
        </is>
      </c>
      <c r="C15" s="16" t="inlineStr">
        <is>
          <t>species</t>
        </is>
      </c>
      <c r="D15" s="16" t="inlineStr">
        <is>
          <t>obesity / metabolic disease</t>
        </is>
      </c>
      <c r="E15" s="17" t="inlineStr">
        <is>
          <t>increased</t>
        </is>
      </c>
      <c r="F15" s="16" t="inlineStr">
        <is>
          <t>treatment_effect</t>
        </is>
      </c>
      <c r="G15" s="16" t="inlineStr">
        <is>
          <t>fecal</t>
        </is>
      </c>
      <c r="H15" s="16" t="inlineStr">
        <is>
          <t>0.0123</t>
        </is>
      </c>
      <c r="I15" s="16" t="inlineStr">
        <is>
          <t>high</t>
        </is>
      </c>
      <c r="J15" s="18" t="inlineStr">
        <is>
          <t>verified</t>
        </is>
      </c>
      <c r="K15" s="18" t="inlineStr">
        <is>
          <t>keep</t>
        </is>
      </c>
      <c r="L15" s="19" t="inlineStr">
        <is>
          <t>Bifidobacterium adolescentis and Collinsella aerofaciens were positively correlated with the production of DCA (specifically, the glycine-conjugated form, GDCA) (p = 0. 0123 and 0. 0634)</t>
        </is>
      </c>
      <c r="M15" s="20" t="inlineStr"/>
      <c r="N15" s="21" t="inlineStr"/>
      <c r="O15" s="21" t="inlineStr"/>
    </row>
    <row r="16" ht="20" customHeight="1">
      <c r="A16" s="22" t="inlineStr">
        <is>
          <t>Collinsella aerofaciens</t>
        </is>
      </c>
      <c r="B16" s="22" t="inlineStr">
        <is>
          <t>bacteria</t>
        </is>
      </c>
      <c r="C16" s="22" t="inlineStr">
        <is>
          <t>species</t>
        </is>
      </c>
      <c r="D16" s="22" t="inlineStr">
        <is>
          <t>obesity / metabolic disease</t>
        </is>
      </c>
      <c r="E16" s="17" t="inlineStr">
        <is>
          <t>increased</t>
        </is>
      </c>
      <c r="F16" s="22" t="inlineStr">
        <is>
          <t>treatment_effect</t>
        </is>
      </c>
      <c r="G16" s="22" t="inlineStr">
        <is>
          <t>fecal</t>
        </is>
      </c>
      <c r="H16" s="22" t="inlineStr">
        <is>
          <t>0.0634</t>
        </is>
      </c>
      <c r="I16" s="22" t="inlineStr">
        <is>
          <t>high</t>
        </is>
      </c>
      <c r="J16" s="23" t="inlineStr">
        <is>
          <t>verified</t>
        </is>
      </c>
      <c r="K16" s="23" t="inlineStr">
        <is>
          <t>keep</t>
        </is>
      </c>
      <c r="L16" s="24" t="inlineStr">
        <is>
          <t>Bifidobacterium adolescentis and Collinsella aerofaciens were positively correlated with the production of DCA (specifically, the glycine-conjugated form, GDCA) (p = 0. 0123 and 0. 0634)</t>
        </is>
      </c>
      <c r="M16" s="20" t="inlineStr"/>
      <c r="N16" s="21" t="inlineStr"/>
      <c r="O16" s="21" t="inlineStr"/>
    </row>
    <row r="17" ht="20" customHeight="1">
      <c r="A17" s="16" t="inlineStr">
        <is>
          <t>Faecalibacterium prausnitzii</t>
        </is>
      </c>
      <c r="B17" s="16" t="inlineStr">
        <is>
          <t>bacteria</t>
        </is>
      </c>
      <c r="C17" s="16" t="inlineStr">
        <is>
          <t>species</t>
        </is>
      </c>
      <c r="D17" s="16" t="inlineStr">
        <is>
          <t>obesity / metabolic disease</t>
        </is>
      </c>
      <c r="E17" s="17" t="inlineStr">
        <is>
          <t>increased</t>
        </is>
      </c>
      <c r="F17" s="16" t="inlineStr">
        <is>
          <t>treatment_effect</t>
        </is>
      </c>
      <c r="G17" s="16" t="inlineStr">
        <is>
          <t>fecal</t>
        </is>
      </c>
      <c r="H17" s="16" t="inlineStr">
        <is>
          <t>0.0634</t>
        </is>
      </c>
      <c r="I17" s="16" t="inlineStr">
        <is>
          <t>high</t>
        </is>
      </c>
      <c r="J17" s="18" t="inlineStr">
        <is>
          <t>verified</t>
        </is>
      </c>
      <c r="K17" s="18" t="inlineStr">
        <is>
          <t>keep</t>
        </is>
      </c>
      <c r="L17" s="19" t="inlineStr">
        <is>
          <t>Faecalibacterium prausnitzii was positively correlated with LCA (p = 0. 0634)</t>
        </is>
      </c>
      <c r="M17" s="20" t="inlineStr"/>
      <c r="N17" s="21" t="inlineStr"/>
      <c r="O17"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7" showDropDown="0" showInputMessage="0" showErrorMessage="0" allowBlank="1" type="list">
      <formula1>"approved,rejected,modified"</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7"/>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626 — Whole genome sequencing revealed microbiome in lung adenocarcinomas presented as ground-glass nodules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Firmicutes</t>
        </is>
      </c>
      <c r="B3" s="16" t="inlineStr">
        <is>
          <t>bacteria</t>
        </is>
      </c>
      <c r="C3" s="16" t="inlineStr">
        <is>
          <t>phylum</t>
        </is>
      </c>
      <c r="D3" s="16" t="inlineStr">
        <is>
          <t>lung adenocarcinoma (ground-glass nodules)</t>
        </is>
      </c>
      <c r="E3" s="26" t="inlineStr">
        <is>
          <t>unclear</t>
        </is>
      </c>
      <c r="F3" s="16" t="inlineStr">
        <is>
          <t>disease_vs_control</t>
        </is>
      </c>
      <c r="G3" s="16" t="inlineStr">
        <is>
          <t>lung</t>
        </is>
      </c>
      <c r="H3" s="16" t="inlineStr"/>
      <c r="I3" s="16" t="inlineStr">
        <is>
          <t>low</t>
        </is>
      </c>
      <c r="J3" s="18" t="inlineStr">
        <is>
          <t>verified</t>
        </is>
      </c>
      <c r="K3" s="18" t="inlineStr">
        <is>
          <t>keep_flagged</t>
        </is>
      </c>
      <c r="L3" s="19" t="inlineStr">
        <is>
          <t>The phylum level included Firmicutes and Actinobacteria. At the genus level, the core lung tissue microbiota included Mycobacterium, Corynebacterium, and Negativicoccus</t>
        </is>
      </c>
      <c r="M3" s="20" t="inlineStr"/>
      <c r="N3" s="21" t="inlineStr"/>
      <c r="O3" s="21" t="inlineStr"/>
    </row>
    <row r="4" ht="20" customHeight="1">
      <c r="A4" s="22" t="inlineStr">
        <is>
          <t>Actinobacteria</t>
        </is>
      </c>
      <c r="B4" s="22" t="inlineStr">
        <is>
          <t>bacteria</t>
        </is>
      </c>
      <c r="C4" s="22" t="inlineStr">
        <is>
          <t>phylum</t>
        </is>
      </c>
      <c r="D4" s="22" t="inlineStr">
        <is>
          <t>lung adenocarcinoma (ground-glass nodules)</t>
        </is>
      </c>
      <c r="E4" s="26" t="inlineStr">
        <is>
          <t>unclear</t>
        </is>
      </c>
      <c r="F4" s="22" t="inlineStr">
        <is>
          <t>disease_vs_control</t>
        </is>
      </c>
      <c r="G4" s="22" t="inlineStr">
        <is>
          <t>lung</t>
        </is>
      </c>
      <c r="H4" s="22" t="inlineStr"/>
      <c r="I4" s="22" t="inlineStr">
        <is>
          <t>low</t>
        </is>
      </c>
      <c r="J4" s="23" t="inlineStr">
        <is>
          <t>verified</t>
        </is>
      </c>
      <c r="K4" s="23" t="inlineStr">
        <is>
          <t>keep_flagged</t>
        </is>
      </c>
      <c r="L4" s="24" t="inlineStr">
        <is>
          <t>The phylum level included Firmicutes and Actinobacteria. At the genus level, the core lung tissue microbiota included Mycobacterium, Corynebacterium, and Negativicoccus</t>
        </is>
      </c>
      <c r="M4" s="20" t="inlineStr"/>
      <c r="N4" s="21" t="inlineStr"/>
      <c r="O4" s="21" t="inlineStr"/>
    </row>
    <row r="5" ht="20" customHeight="1">
      <c r="A5" s="16" t="inlineStr">
        <is>
          <t>Mycobacterium</t>
        </is>
      </c>
      <c r="B5" s="16" t="inlineStr">
        <is>
          <t>bacteria</t>
        </is>
      </c>
      <c r="C5" s="16" t="inlineStr">
        <is>
          <t>genus</t>
        </is>
      </c>
      <c r="D5" s="16" t="inlineStr">
        <is>
          <t>lung adenocarcinoma (ground-glass nodules)</t>
        </is>
      </c>
      <c r="E5" s="26" t="inlineStr">
        <is>
          <t>unclear</t>
        </is>
      </c>
      <c r="F5" s="16" t="inlineStr">
        <is>
          <t>disease_vs_control</t>
        </is>
      </c>
      <c r="G5" s="16" t="inlineStr">
        <is>
          <t>lung</t>
        </is>
      </c>
      <c r="H5" s="16" t="inlineStr"/>
      <c r="I5" s="16" t="inlineStr">
        <is>
          <t>medium</t>
        </is>
      </c>
      <c r="J5" s="18" t="inlineStr">
        <is>
          <t>verified</t>
        </is>
      </c>
      <c r="K5" s="18" t="inlineStr">
        <is>
          <t>keep_flagged</t>
        </is>
      </c>
      <c r="L5" s="19" t="inlineStr">
        <is>
          <t>Interestingly, Mycobacterium was discovered in GGNs. Mycobacterium tuberculosis and Mycobacterium avium complex (MAC) are considered to play a potential role in oncogenesis</t>
        </is>
      </c>
      <c r="M5" s="20" t="inlineStr"/>
      <c r="N5" s="21" t="inlineStr"/>
      <c r="O5" s="21" t="inlineStr"/>
    </row>
    <row r="6" ht="20" customHeight="1">
      <c r="A6" s="22" t="inlineStr">
        <is>
          <t>Corynebacterium</t>
        </is>
      </c>
      <c r="B6" s="22" t="inlineStr">
        <is>
          <t>bacteria</t>
        </is>
      </c>
      <c r="C6" s="22" t="inlineStr">
        <is>
          <t>genus</t>
        </is>
      </c>
      <c r="D6" s="22" t="inlineStr">
        <is>
          <t>lung adenocarcinoma (ground-glass nodules)</t>
        </is>
      </c>
      <c r="E6" s="26" t="inlineStr">
        <is>
          <t>unclear</t>
        </is>
      </c>
      <c r="F6" s="22" t="inlineStr">
        <is>
          <t>disease_vs_control</t>
        </is>
      </c>
      <c r="G6" s="22" t="inlineStr">
        <is>
          <t>lung</t>
        </is>
      </c>
      <c r="H6" s="22" t="inlineStr"/>
      <c r="I6" s="22" t="inlineStr">
        <is>
          <t>low</t>
        </is>
      </c>
      <c r="J6" s="23" t="inlineStr">
        <is>
          <t>verified</t>
        </is>
      </c>
      <c r="K6" s="23" t="inlineStr">
        <is>
          <t>keep_flagged</t>
        </is>
      </c>
      <c r="L6" s="24" t="inlineStr">
        <is>
          <t>At the genus level, the core lung tissue microbiota included Mycobacterium, Corynebacterium, and Negativicoccus</t>
        </is>
      </c>
      <c r="M6" s="20" t="inlineStr"/>
      <c r="N6" s="21" t="inlineStr"/>
      <c r="O6" s="21" t="inlineStr"/>
    </row>
    <row r="7" ht="20" customHeight="1">
      <c r="A7" s="16" t="inlineStr">
        <is>
          <t>Negativicoccus</t>
        </is>
      </c>
      <c r="B7" s="16" t="inlineStr">
        <is>
          <t>bacteria</t>
        </is>
      </c>
      <c r="C7" s="16" t="inlineStr">
        <is>
          <t>genus</t>
        </is>
      </c>
      <c r="D7" s="16" t="inlineStr">
        <is>
          <t>lung adenocarcinoma (ground-glass nodules)</t>
        </is>
      </c>
      <c r="E7" s="26" t="inlineStr">
        <is>
          <t>unclear</t>
        </is>
      </c>
      <c r="F7" s="16" t="inlineStr">
        <is>
          <t>disease_vs_control</t>
        </is>
      </c>
      <c r="G7" s="16" t="inlineStr">
        <is>
          <t>lung</t>
        </is>
      </c>
      <c r="H7" s="16" t="inlineStr"/>
      <c r="I7" s="16" t="inlineStr">
        <is>
          <t>low</t>
        </is>
      </c>
      <c r="J7" s="18" t="inlineStr">
        <is>
          <t>verified</t>
        </is>
      </c>
      <c r="K7" s="18" t="inlineStr">
        <is>
          <t>keep_flagged</t>
        </is>
      </c>
      <c r="L7" s="19" t="inlineStr">
        <is>
          <t>Negativicoccus demonstrated the most richness amongst all samples, followed by Mycobacterium and Corynebacterium</t>
        </is>
      </c>
      <c r="M7" s="20" t="inlineStr"/>
      <c r="N7" s="21" t="inlineStr"/>
      <c r="O7"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7" showDropDown="0" showInputMessage="0" showErrorMessage="0" allowBlank="1" type="list">
      <formula1>"approved,rejected,modified"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19"/>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756 — The Effects of Electronic Cigarettes on Oral Microbiome and Metabolome in 3D Tissue-Engineered Models</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Clostridium</t>
        </is>
      </c>
      <c r="B3" s="16" t="inlineStr">
        <is>
          <t>bacteria</t>
        </is>
      </c>
      <c r="C3" s="16" t="inlineStr">
        <is>
          <t>genus</t>
        </is>
      </c>
      <c r="D3" s="16" t="inlineStr">
        <is>
          <t>oral dysbiosis</t>
        </is>
      </c>
      <c r="E3" s="17" t="inlineStr">
        <is>
          <t>increased</t>
        </is>
      </c>
      <c r="F3" s="16" t="inlineStr">
        <is>
          <t>treatment_effect</t>
        </is>
      </c>
      <c r="G3" s="16" t="inlineStr">
        <is>
          <t>oral</t>
        </is>
      </c>
      <c r="H3" s="16" t="inlineStr">
        <is>
          <t>&lt;0.05</t>
        </is>
      </c>
      <c r="I3" s="16" t="inlineStr">
        <is>
          <t>high</t>
        </is>
      </c>
      <c r="J3" s="18" t="inlineStr">
        <is>
          <t>verified</t>
        </is>
      </c>
      <c r="K3" s="18" t="inlineStr">
        <is>
          <t>keep</t>
        </is>
      </c>
      <c r="L3" s="19" t="inlineStr">
        <is>
          <t>Affected taxa that was abundant in the flavoured EC with nicotine group included anaerobic Clostridium, Prevotella, Veillonellaceae, and Bacteroides.</t>
        </is>
      </c>
      <c r="M3" s="20" t="inlineStr"/>
      <c r="N3" s="21" t="inlineStr"/>
      <c r="O3" s="21" t="inlineStr"/>
    </row>
    <row r="4" ht="20" customHeight="1">
      <c r="A4" s="22" t="inlineStr">
        <is>
          <t>Prevotella</t>
        </is>
      </c>
      <c r="B4" s="22" t="inlineStr">
        <is>
          <t>bacteria</t>
        </is>
      </c>
      <c r="C4" s="22" t="inlineStr">
        <is>
          <t>genus</t>
        </is>
      </c>
      <c r="D4" s="22" t="inlineStr">
        <is>
          <t>oral dysbiosis</t>
        </is>
      </c>
      <c r="E4" s="17" t="inlineStr">
        <is>
          <t>increased</t>
        </is>
      </c>
      <c r="F4" s="22" t="inlineStr">
        <is>
          <t>treatment_effect</t>
        </is>
      </c>
      <c r="G4" s="22" t="inlineStr">
        <is>
          <t>oral</t>
        </is>
      </c>
      <c r="H4" s="22" t="inlineStr">
        <is>
          <t>&lt;0.05</t>
        </is>
      </c>
      <c r="I4" s="22" t="inlineStr">
        <is>
          <t>high</t>
        </is>
      </c>
      <c r="J4" s="23" t="inlineStr">
        <is>
          <t>verified</t>
        </is>
      </c>
      <c r="K4" s="23" t="inlineStr">
        <is>
          <t>keep</t>
        </is>
      </c>
      <c r="L4" s="24" t="inlineStr">
        <is>
          <t>Affected taxa that was abundant in the flavoured EC with nicotine group included anaerobic Clostridium, Prevotella, Veillonellaceae, and Bacteroides.</t>
        </is>
      </c>
      <c r="M4" s="20" t="inlineStr"/>
      <c r="N4" s="21" t="inlineStr"/>
      <c r="O4" s="21" t="inlineStr"/>
    </row>
    <row r="5" ht="20" customHeight="1">
      <c r="A5" s="16" t="inlineStr">
        <is>
          <t>Bacteroides</t>
        </is>
      </c>
      <c r="B5" s="16" t="inlineStr">
        <is>
          <t>bacteria</t>
        </is>
      </c>
      <c r="C5" s="16" t="inlineStr">
        <is>
          <t>genus</t>
        </is>
      </c>
      <c r="D5" s="16" t="inlineStr">
        <is>
          <t>oral dysbiosis</t>
        </is>
      </c>
      <c r="E5" s="17" t="inlineStr">
        <is>
          <t>increased</t>
        </is>
      </c>
      <c r="F5" s="16" t="inlineStr">
        <is>
          <t>treatment_effect</t>
        </is>
      </c>
      <c r="G5" s="16" t="inlineStr">
        <is>
          <t>oral</t>
        </is>
      </c>
      <c r="H5" s="16" t="inlineStr">
        <is>
          <t>&lt;0.05</t>
        </is>
      </c>
      <c r="I5" s="16" t="inlineStr">
        <is>
          <t>high</t>
        </is>
      </c>
      <c r="J5" s="18" t="inlineStr">
        <is>
          <t>verified</t>
        </is>
      </c>
      <c r="K5" s="18" t="inlineStr">
        <is>
          <t>keep</t>
        </is>
      </c>
      <c r="L5" s="19" t="inlineStr">
        <is>
          <t>Affected taxa that was abundant in the flavoured EC with nicotine group included anaerobic Clostridium, Prevotella, Veillonellaceae, and Bacteroides.</t>
        </is>
      </c>
      <c r="M5" s="20" t="inlineStr"/>
      <c r="N5" s="21" t="inlineStr"/>
      <c r="O5" s="21" t="inlineStr"/>
    </row>
    <row r="6" ht="20" customHeight="1">
      <c r="A6" s="22" t="inlineStr">
        <is>
          <t>Veillonellaceae</t>
        </is>
      </c>
      <c r="B6" s="22" t="inlineStr">
        <is>
          <t>bacteria</t>
        </is>
      </c>
      <c r="C6" s="22" t="inlineStr">
        <is>
          <t>family</t>
        </is>
      </c>
      <c r="D6" s="22" t="inlineStr">
        <is>
          <t>oral dysbiosis</t>
        </is>
      </c>
      <c r="E6" s="17" t="inlineStr">
        <is>
          <t>increased</t>
        </is>
      </c>
      <c r="F6" s="22" t="inlineStr">
        <is>
          <t>treatment_effect</t>
        </is>
      </c>
      <c r="G6" s="22" t="inlineStr">
        <is>
          <t>oral</t>
        </is>
      </c>
      <c r="H6" s="22" t="inlineStr">
        <is>
          <t>&lt;0.05</t>
        </is>
      </c>
      <c r="I6" s="22" t="inlineStr">
        <is>
          <t>high</t>
        </is>
      </c>
      <c r="J6" s="23" t="inlineStr">
        <is>
          <t>verified</t>
        </is>
      </c>
      <c r="K6" s="23" t="inlineStr">
        <is>
          <t>keep</t>
        </is>
      </c>
      <c r="L6" s="24" t="inlineStr">
        <is>
          <t>Affected taxa that was abundant in the flavoured EC with nicotine group included anaerobic Clostridium, Prevotella, Veillonellaceae, and Bacteroides.</t>
        </is>
      </c>
      <c r="M6" s="20" t="inlineStr"/>
      <c r="N6" s="21" t="inlineStr"/>
      <c r="O6" s="21" t="inlineStr"/>
    </row>
    <row r="7" ht="20" customHeight="1">
      <c r="A7" s="16" t="inlineStr">
        <is>
          <t>Proteobacteria</t>
        </is>
      </c>
      <c r="B7" s="16" t="inlineStr">
        <is>
          <t>bacteria</t>
        </is>
      </c>
      <c r="C7" s="16" t="inlineStr">
        <is>
          <t>phylum</t>
        </is>
      </c>
      <c r="D7" s="16" t="inlineStr">
        <is>
          <t>oral dysbiosis</t>
        </is>
      </c>
      <c r="E7" s="26" t="inlineStr">
        <is>
          <t>unclear</t>
        </is>
      </c>
      <c r="F7" s="16" t="inlineStr">
        <is>
          <t>treatment_effect</t>
        </is>
      </c>
      <c r="G7" s="16" t="inlineStr">
        <is>
          <t>oral</t>
        </is>
      </c>
      <c r="H7" s="16" t="inlineStr">
        <is>
          <t>&lt;0.05</t>
        </is>
      </c>
      <c r="I7" s="16" t="inlineStr">
        <is>
          <t>medium</t>
        </is>
      </c>
      <c r="J7" s="18" t="inlineStr">
        <is>
          <t>verified</t>
        </is>
      </c>
      <c r="K7" s="18" t="inlineStr">
        <is>
          <t>keep_flagged</t>
        </is>
      </c>
      <c r="L7" s="19" t="inlineStr">
        <is>
          <t>at the phylum level, Proteobacteria and Firmicutes exhibited alterations</t>
        </is>
      </c>
      <c r="M7" s="20" t="inlineStr"/>
      <c r="N7" s="21" t="inlineStr"/>
      <c r="O7" s="21" t="inlineStr"/>
    </row>
    <row r="8" ht="20" customHeight="1">
      <c r="A8" s="22" t="inlineStr">
        <is>
          <t>Firmicutes</t>
        </is>
      </c>
      <c r="B8" s="22" t="inlineStr">
        <is>
          <t>bacteria</t>
        </is>
      </c>
      <c r="C8" s="22" t="inlineStr">
        <is>
          <t>phylum</t>
        </is>
      </c>
      <c r="D8" s="22" t="inlineStr">
        <is>
          <t>oral dysbiosis</t>
        </is>
      </c>
      <c r="E8" s="26" t="inlineStr">
        <is>
          <t>unclear</t>
        </is>
      </c>
      <c r="F8" s="22" t="inlineStr">
        <is>
          <t>treatment_effect</t>
        </is>
      </c>
      <c r="G8" s="22" t="inlineStr">
        <is>
          <t>oral</t>
        </is>
      </c>
      <c r="H8" s="22" t="inlineStr">
        <is>
          <t>&lt;0.05</t>
        </is>
      </c>
      <c r="I8" s="22" t="inlineStr">
        <is>
          <t>medium</t>
        </is>
      </c>
      <c r="J8" s="23" t="inlineStr">
        <is>
          <t>verified</t>
        </is>
      </c>
      <c r="K8" s="23" t="inlineStr">
        <is>
          <t>keep_flagged</t>
        </is>
      </c>
      <c r="L8" s="24" t="inlineStr">
        <is>
          <t>taxa such as Firmicutes at the phylum level, Bacilli and Bacteroidia at the class level, Prevotellaceae and Enterobacteriaceae at the family level, and Prevotella at the genus level, were significantly impacted in flavoured EC users, irrespective of nicotine presence.</t>
        </is>
      </c>
      <c r="M8" s="20" t="inlineStr"/>
      <c r="N8" s="21" t="inlineStr"/>
      <c r="O8" s="21" t="inlineStr"/>
    </row>
    <row r="9" ht="20" customHeight="1">
      <c r="A9" s="16" t="inlineStr">
        <is>
          <t>Actinobacteria</t>
        </is>
      </c>
      <c r="B9" s="16" t="inlineStr">
        <is>
          <t>bacteria</t>
        </is>
      </c>
      <c r="C9" s="16" t="inlineStr">
        <is>
          <t>class</t>
        </is>
      </c>
      <c r="D9" s="16" t="inlineStr">
        <is>
          <t>oral dysbiosis</t>
        </is>
      </c>
      <c r="E9" s="26" t="inlineStr">
        <is>
          <t>unclear</t>
        </is>
      </c>
      <c r="F9" s="16" t="inlineStr">
        <is>
          <t>treatment_effect</t>
        </is>
      </c>
      <c r="G9" s="16" t="inlineStr">
        <is>
          <t>oral</t>
        </is>
      </c>
      <c r="H9" s="16" t="inlineStr">
        <is>
          <t>&lt;0.05</t>
        </is>
      </c>
      <c r="I9" s="16" t="inlineStr">
        <is>
          <t>medium</t>
        </is>
      </c>
      <c r="J9" s="18" t="inlineStr">
        <is>
          <t>verified</t>
        </is>
      </c>
      <c r="K9" s="18" t="inlineStr">
        <is>
          <t>keep_flagged</t>
        </is>
      </c>
      <c r="L9" s="19" t="inlineStr">
        <is>
          <t>at the class level, Actinobacteria, Bacilli, Bacteroidia, and Clostridia were affected</t>
        </is>
      </c>
      <c r="M9" s="20" t="inlineStr"/>
      <c r="N9" s="21" t="inlineStr"/>
      <c r="O9" s="21" t="inlineStr"/>
    </row>
    <row r="10" ht="20" customHeight="1">
      <c r="A10" s="22" t="inlineStr">
        <is>
          <t>Bacilli</t>
        </is>
      </c>
      <c r="B10" s="22" t="inlineStr">
        <is>
          <t>bacteria</t>
        </is>
      </c>
      <c r="C10" s="22" t="inlineStr">
        <is>
          <t>class</t>
        </is>
      </c>
      <c r="D10" s="22" t="inlineStr">
        <is>
          <t>oral dysbiosis</t>
        </is>
      </c>
      <c r="E10" s="26" t="inlineStr">
        <is>
          <t>unclear</t>
        </is>
      </c>
      <c r="F10" s="22" t="inlineStr">
        <is>
          <t>treatment_effect</t>
        </is>
      </c>
      <c r="G10" s="22" t="inlineStr">
        <is>
          <t>oral</t>
        </is>
      </c>
      <c r="H10" s="22" t="inlineStr">
        <is>
          <t>&lt;0.05</t>
        </is>
      </c>
      <c r="I10" s="22" t="inlineStr">
        <is>
          <t>medium</t>
        </is>
      </c>
      <c r="J10" s="23" t="inlineStr">
        <is>
          <t>verified</t>
        </is>
      </c>
      <c r="K10" s="23" t="inlineStr">
        <is>
          <t>keep_flagged</t>
        </is>
      </c>
      <c r="L10" s="24" t="inlineStr">
        <is>
          <t>taxa such as Firmicutes at the phylum level, Bacilli and Bacteroidia at the class level, Prevotellaceae and Enterobacteriaceae at the family level, and Prevotella at the genus level, were significantly impacted in flavoured EC users, irrespective of nicotine presence.</t>
        </is>
      </c>
      <c r="M10" s="20" t="inlineStr"/>
      <c r="N10" s="21" t="inlineStr"/>
      <c r="O10" s="21" t="inlineStr"/>
    </row>
    <row r="11" ht="20" customHeight="1">
      <c r="A11" s="16" t="inlineStr">
        <is>
          <t>Bacteroidia</t>
        </is>
      </c>
      <c r="B11" s="16" t="inlineStr">
        <is>
          <t>bacteria</t>
        </is>
      </c>
      <c r="C11" s="16" t="inlineStr">
        <is>
          <t>class</t>
        </is>
      </c>
      <c r="D11" s="16" t="inlineStr">
        <is>
          <t>oral dysbiosis</t>
        </is>
      </c>
      <c r="E11" s="26" t="inlineStr">
        <is>
          <t>unclear</t>
        </is>
      </c>
      <c r="F11" s="16" t="inlineStr">
        <is>
          <t>treatment_effect</t>
        </is>
      </c>
      <c r="G11" s="16" t="inlineStr">
        <is>
          <t>oral</t>
        </is>
      </c>
      <c r="H11" s="16" t="inlineStr">
        <is>
          <t>&lt;0.05</t>
        </is>
      </c>
      <c r="I11" s="16" t="inlineStr">
        <is>
          <t>medium</t>
        </is>
      </c>
      <c r="J11" s="18" t="inlineStr">
        <is>
          <t>verified</t>
        </is>
      </c>
      <c r="K11" s="18" t="inlineStr">
        <is>
          <t>keep_flagged</t>
        </is>
      </c>
      <c r="L11" s="19" t="inlineStr">
        <is>
          <t>taxa such as Firmicutes at the phylum level, Bacilli and Bacteroidia at the class level, Prevotellaceae and Enterobacteriaceae at the family level, and Prevotella at the genus level, were significantly impacted in flavoured EC users, irrespective of nicotine presence.</t>
        </is>
      </c>
      <c r="M11" s="20" t="inlineStr"/>
      <c r="N11" s="21" t="inlineStr"/>
      <c r="O11" s="21" t="inlineStr"/>
    </row>
    <row r="12" ht="20" customHeight="1">
      <c r="A12" s="22" t="inlineStr">
        <is>
          <t>Clostridia</t>
        </is>
      </c>
      <c r="B12" s="22" t="inlineStr">
        <is>
          <t>bacteria</t>
        </is>
      </c>
      <c r="C12" s="22" t="inlineStr">
        <is>
          <t>class</t>
        </is>
      </c>
      <c r="D12" s="22" t="inlineStr">
        <is>
          <t>oral dysbiosis</t>
        </is>
      </c>
      <c r="E12" s="26" t="inlineStr">
        <is>
          <t>unclear</t>
        </is>
      </c>
      <c r="F12" s="22" t="inlineStr">
        <is>
          <t>treatment_effect</t>
        </is>
      </c>
      <c r="G12" s="22" t="inlineStr">
        <is>
          <t>oral</t>
        </is>
      </c>
      <c r="H12" s="22" t="inlineStr">
        <is>
          <t>&lt;0.05</t>
        </is>
      </c>
      <c r="I12" s="22" t="inlineStr">
        <is>
          <t>medium</t>
        </is>
      </c>
      <c r="J12" s="23" t="inlineStr">
        <is>
          <t>verified</t>
        </is>
      </c>
      <c r="K12" s="23" t="inlineStr">
        <is>
          <t>keep_flagged</t>
        </is>
      </c>
      <c r="L12" s="24" t="inlineStr">
        <is>
          <t>at the class level, Actinobacteria, Bacilli, Bacteroidia, and Clostridia were affected</t>
        </is>
      </c>
      <c r="M12" s="20" t="inlineStr"/>
      <c r="N12" s="21" t="inlineStr"/>
      <c r="O12" s="21" t="inlineStr"/>
    </row>
    <row r="13" ht="20" customHeight="1">
      <c r="A13" s="16" t="inlineStr">
        <is>
          <t>Prevotellaceae</t>
        </is>
      </c>
      <c r="B13" s="16" t="inlineStr">
        <is>
          <t>bacteria</t>
        </is>
      </c>
      <c r="C13" s="16" t="inlineStr">
        <is>
          <t>family</t>
        </is>
      </c>
      <c r="D13" s="16" t="inlineStr">
        <is>
          <t>oral dysbiosis</t>
        </is>
      </c>
      <c r="E13" s="26" t="inlineStr">
        <is>
          <t>unclear</t>
        </is>
      </c>
      <c r="F13" s="16" t="inlineStr">
        <is>
          <t>treatment_effect</t>
        </is>
      </c>
      <c r="G13" s="16" t="inlineStr">
        <is>
          <t>oral</t>
        </is>
      </c>
      <c r="H13" s="16" t="inlineStr">
        <is>
          <t>&lt;0.05</t>
        </is>
      </c>
      <c r="I13" s="16" t="inlineStr">
        <is>
          <t>medium</t>
        </is>
      </c>
      <c r="J13" s="18" t="inlineStr">
        <is>
          <t>verified</t>
        </is>
      </c>
      <c r="K13" s="18" t="inlineStr">
        <is>
          <t>keep_flagged</t>
        </is>
      </c>
      <c r="L13" s="19" t="inlineStr">
        <is>
          <t>taxa such as Firmicutes at the phylum level, Bacilli and Bacteroidia at the class level, Prevotellaceae and Enterobacteriaceae at the family level, and Prevotella at the genus level, were significantly impacted in flavoured EC users, irrespective of nicotine presence.</t>
        </is>
      </c>
      <c r="M13" s="20" t="inlineStr"/>
      <c r="N13" s="21" t="inlineStr"/>
      <c r="O13" s="21" t="inlineStr"/>
    </row>
    <row r="14" ht="20" customHeight="1">
      <c r="A14" s="22" t="inlineStr">
        <is>
          <t>Enterobacteriaceae</t>
        </is>
      </c>
      <c r="B14" s="22" t="inlineStr">
        <is>
          <t>bacteria</t>
        </is>
      </c>
      <c r="C14" s="22" t="inlineStr">
        <is>
          <t>family</t>
        </is>
      </c>
      <c r="D14" s="22" t="inlineStr">
        <is>
          <t>oral dysbiosis</t>
        </is>
      </c>
      <c r="E14" s="26" t="inlineStr">
        <is>
          <t>unclear</t>
        </is>
      </c>
      <c r="F14" s="22" t="inlineStr">
        <is>
          <t>treatment_effect</t>
        </is>
      </c>
      <c r="G14" s="22" t="inlineStr">
        <is>
          <t>oral</t>
        </is>
      </c>
      <c r="H14" s="22" t="inlineStr">
        <is>
          <t>&lt;0.05</t>
        </is>
      </c>
      <c r="I14" s="22" t="inlineStr">
        <is>
          <t>medium</t>
        </is>
      </c>
      <c r="J14" s="23" t="inlineStr">
        <is>
          <t>verified</t>
        </is>
      </c>
      <c r="K14" s="23" t="inlineStr">
        <is>
          <t>keep_flagged</t>
        </is>
      </c>
      <c r="L14" s="24" t="inlineStr">
        <is>
          <t>taxa such as Firmicutes at the phylum level, Bacilli and Bacteroidia at the class level, Prevotellaceae and Enterobacteriaceae at the family level, and Prevotella at the genus level, were significantly impacted in flavoured EC users, irrespective of nicotine presence.</t>
        </is>
      </c>
      <c r="M14" s="20" t="inlineStr"/>
      <c r="N14" s="21" t="inlineStr"/>
      <c r="O14" s="21" t="inlineStr"/>
    </row>
    <row r="15" ht="20" customHeight="1">
      <c r="A15" s="16" t="inlineStr">
        <is>
          <t>Bifidobacteriaceae</t>
        </is>
      </c>
      <c r="B15" s="16" t="inlineStr">
        <is>
          <t>bacteria</t>
        </is>
      </c>
      <c r="C15" s="16" t="inlineStr">
        <is>
          <t>family</t>
        </is>
      </c>
      <c r="D15" s="16" t="inlineStr">
        <is>
          <t>oral dysbiosis</t>
        </is>
      </c>
      <c r="E15" s="26" t="inlineStr">
        <is>
          <t>unclear</t>
        </is>
      </c>
      <c r="F15" s="16" t="inlineStr">
        <is>
          <t>treatment_effect</t>
        </is>
      </c>
      <c r="G15" s="16" t="inlineStr">
        <is>
          <t>oral</t>
        </is>
      </c>
      <c r="H15" s="16" t="inlineStr">
        <is>
          <t>&lt;0.05</t>
        </is>
      </c>
      <c r="I15" s="16" t="inlineStr">
        <is>
          <t>medium</t>
        </is>
      </c>
      <c r="J15" s="18" t="inlineStr">
        <is>
          <t>verified</t>
        </is>
      </c>
      <c r="K15" s="18" t="inlineStr">
        <is>
          <t>keep_flagged</t>
        </is>
      </c>
      <c r="L15" s="19" t="inlineStr">
        <is>
          <t>At the family level, Prevotellaceae, Enterobacteriaceae, Bifidobacteriaceae, Ruminococcaceae, Veillonellaceae, and Lachnospiraceae, while at genus level Prevotella, Bacteroides, Bifidobacterium, and Clostridium_XlVa showed differences</t>
        </is>
      </c>
      <c r="M15" s="20" t="inlineStr"/>
      <c r="N15" s="21" t="inlineStr"/>
      <c r="O15" s="21" t="inlineStr"/>
    </row>
    <row r="16" ht="20" customHeight="1">
      <c r="A16" s="22" t="inlineStr">
        <is>
          <t>Ruminococcaceae</t>
        </is>
      </c>
      <c r="B16" s="22" t="inlineStr">
        <is>
          <t>bacteria</t>
        </is>
      </c>
      <c r="C16" s="22" t="inlineStr">
        <is>
          <t>family</t>
        </is>
      </c>
      <c r="D16" s="22" t="inlineStr">
        <is>
          <t>oral dysbiosis</t>
        </is>
      </c>
      <c r="E16" s="26" t="inlineStr">
        <is>
          <t>unclear</t>
        </is>
      </c>
      <c r="F16" s="22" t="inlineStr">
        <is>
          <t>treatment_effect</t>
        </is>
      </c>
      <c r="G16" s="22" t="inlineStr">
        <is>
          <t>oral</t>
        </is>
      </c>
      <c r="H16" s="22" t="inlineStr">
        <is>
          <t>&lt;0.05</t>
        </is>
      </c>
      <c r="I16" s="22" t="inlineStr">
        <is>
          <t>medium</t>
        </is>
      </c>
      <c r="J16" s="23" t="inlineStr">
        <is>
          <t>verified</t>
        </is>
      </c>
      <c r="K16" s="23" t="inlineStr">
        <is>
          <t>keep_flagged</t>
        </is>
      </c>
      <c r="L16" s="24" t="inlineStr">
        <is>
          <t>At the family level, Prevotellaceae, Enterobacteriaceae, Bifidobacteriaceae, Ruminococcaceae, Veillonellaceae, and Lachnospiraceae, while at genus level Prevotella, Bacteroides, Bifidobacterium, and Clostridium_XlVa showed differences</t>
        </is>
      </c>
      <c r="M16" s="20" t="inlineStr"/>
      <c r="N16" s="21" t="inlineStr"/>
      <c r="O16" s="21" t="inlineStr"/>
    </row>
    <row r="17" ht="20" customHeight="1">
      <c r="A17" s="16" t="inlineStr">
        <is>
          <t>Lachnospiraceae</t>
        </is>
      </c>
      <c r="B17" s="16" t="inlineStr">
        <is>
          <t>bacteria</t>
        </is>
      </c>
      <c r="C17" s="16" t="inlineStr">
        <is>
          <t>family</t>
        </is>
      </c>
      <c r="D17" s="16" t="inlineStr">
        <is>
          <t>oral dysbiosis</t>
        </is>
      </c>
      <c r="E17" s="26" t="inlineStr">
        <is>
          <t>unclear</t>
        </is>
      </c>
      <c r="F17" s="16" t="inlineStr">
        <is>
          <t>treatment_effect</t>
        </is>
      </c>
      <c r="G17" s="16" t="inlineStr">
        <is>
          <t>oral</t>
        </is>
      </c>
      <c r="H17" s="16" t="inlineStr">
        <is>
          <t>&lt;0.05</t>
        </is>
      </c>
      <c r="I17" s="16" t="inlineStr">
        <is>
          <t>medium</t>
        </is>
      </c>
      <c r="J17" s="18" t="inlineStr">
        <is>
          <t>verified</t>
        </is>
      </c>
      <c r="K17" s="18" t="inlineStr">
        <is>
          <t>keep_flagged</t>
        </is>
      </c>
      <c r="L17" s="19" t="inlineStr">
        <is>
          <t>At the family level, Prevotellaceae, Enterobacteriaceae, Bifidobacteriaceae, Ruminococcaceae, Veillonellaceae, and Lachnospiraceae, while at genus level Prevotella, Bacteroides, Bifidobacterium, and Clostridium_XlVa showed differences</t>
        </is>
      </c>
      <c r="M17" s="20" t="inlineStr"/>
      <c r="N17" s="21" t="inlineStr"/>
      <c r="O17" s="21" t="inlineStr"/>
    </row>
    <row r="18" ht="20" customHeight="1">
      <c r="A18" s="22" t="inlineStr">
        <is>
          <t>Bifidobacterium</t>
        </is>
      </c>
      <c r="B18" s="22" t="inlineStr">
        <is>
          <t>bacteria</t>
        </is>
      </c>
      <c r="C18" s="22" t="inlineStr">
        <is>
          <t>genus</t>
        </is>
      </c>
      <c r="D18" s="22" t="inlineStr">
        <is>
          <t>oral dysbiosis</t>
        </is>
      </c>
      <c r="E18" s="26" t="inlineStr">
        <is>
          <t>unclear</t>
        </is>
      </c>
      <c r="F18" s="22" t="inlineStr">
        <is>
          <t>treatment_effect</t>
        </is>
      </c>
      <c r="G18" s="22" t="inlineStr">
        <is>
          <t>oral</t>
        </is>
      </c>
      <c r="H18" s="22" t="inlineStr">
        <is>
          <t>&lt;0.05</t>
        </is>
      </c>
      <c r="I18" s="22" t="inlineStr">
        <is>
          <t>medium</t>
        </is>
      </c>
      <c r="J18" s="23" t="inlineStr">
        <is>
          <t>verified</t>
        </is>
      </c>
      <c r="K18" s="23" t="inlineStr">
        <is>
          <t>keep_flagged</t>
        </is>
      </c>
      <c r="L18" s="24" t="inlineStr">
        <is>
          <t>at genus level Prevotella, Bacteroides, Bifidobacterium, and Clostridium_XlVa showed differences</t>
        </is>
      </c>
      <c r="M18" s="20" t="inlineStr"/>
      <c r="N18" s="21" t="inlineStr"/>
      <c r="O18" s="21" t="inlineStr"/>
    </row>
    <row r="19" ht="20" customHeight="1">
      <c r="A19" s="16" t="inlineStr">
        <is>
          <t>Clostridium_XlVa</t>
        </is>
      </c>
      <c r="B19" s="16" t="inlineStr">
        <is>
          <t>bacteria</t>
        </is>
      </c>
      <c r="C19" s="16" t="inlineStr">
        <is>
          <t>genus</t>
        </is>
      </c>
      <c r="D19" s="16" t="inlineStr">
        <is>
          <t>oral dysbiosis</t>
        </is>
      </c>
      <c r="E19" s="17" t="inlineStr">
        <is>
          <t>increased</t>
        </is>
      </c>
      <c r="F19" s="16" t="inlineStr">
        <is>
          <t>treatment_effect</t>
        </is>
      </c>
      <c r="G19" s="16" t="inlineStr">
        <is>
          <t>oral</t>
        </is>
      </c>
      <c r="H19" s="16" t="inlineStr">
        <is>
          <t>&lt;0.05</t>
        </is>
      </c>
      <c r="I19" s="16" t="inlineStr">
        <is>
          <t>medium</t>
        </is>
      </c>
      <c r="J19" s="18" t="inlineStr">
        <is>
          <t>verified</t>
        </is>
      </c>
      <c r="K19" s="18" t="inlineStr">
        <is>
          <t>keep_flagged</t>
        </is>
      </c>
      <c r="L19" s="19" t="inlineStr">
        <is>
          <t>at genus level Prevotella, Bacteroides, Bifidobacterium, and Clostridium_XlVa showed differences</t>
        </is>
      </c>
      <c r="M19" s="20" t="inlineStr"/>
      <c r="N19" s="21" t="inlineStr"/>
      <c r="O19"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9" showDropDown="0" showInputMessage="0" showErrorMessage="0" allowBlank="1" type="list">
      <formula1>"approved,rejected,modified"</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28"/>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856 — Gut microbiome and schizophrenia: insights from two-sample Mendelian randomization</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Firmicutes</t>
        </is>
      </c>
      <c r="B3" s="16" t="inlineStr">
        <is>
          <t>bacteria</t>
        </is>
      </c>
      <c r="C3" s="16" t="inlineStr">
        <is>
          <t>phylum</t>
        </is>
      </c>
      <c r="D3" s="16" t="inlineStr">
        <is>
          <t>schizophrenia</t>
        </is>
      </c>
      <c r="E3" s="17" t="inlineStr">
        <is>
          <t>increased</t>
        </is>
      </c>
      <c r="F3" s="16" t="inlineStr">
        <is>
          <t>disease_vs_control</t>
        </is>
      </c>
      <c r="G3" s="16" t="inlineStr">
        <is>
          <t>gut</t>
        </is>
      </c>
      <c r="H3" s="16" t="inlineStr">
        <is>
          <t>0.015</t>
        </is>
      </c>
      <c r="I3" s="16" t="inlineStr">
        <is>
          <t>high</t>
        </is>
      </c>
      <c r="J3" s="18" t="inlineStr">
        <is>
          <t>verified</t>
        </is>
      </c>
      <c r="K3" s="18" t="inlineStr">
        <is>
          <t>keep</t>
        </is>
      </c>
      <c r="L3" s="19" t="inlineStr">
        <is>
          <t>The result of IVW suggests that nine taxa were positively correlated with schizophrenia risk, including phylum Firmicutes, class Betaproteobacteria, class Clostridia, order Clostridiales, family Prevotellaceae, genus Alloprevotella, genus FamilyXIIIUCG001, genus Hungatella, and genus Subdoligranulum (OR: 1. 08–1. 16, p ≤ 0. 044)</t>
        </is>
      </c>
      <c r="M3" s="20" t="inlineStr"/>
      <c r="N3" s="21" t="inlineStr"/>
      <c r="O3" s="21" t="inlineStr"/>
    </row>
    <row r="4" ht="20" customHeight="1">
      <c r="A4" s="22" t="inlineStr">
        <is>
          <t>Betaproteobacteria</t>
        </is>
      </c>
      <c r="B4" s="22" t="inlineStr">
        <is>
          <t>bacteria</t>
        </is>
      </c>
      <c r="C4" s="22" t="inlineStr">
        <is>
          <t>class</t>
        </is>
      </c>
      <c r="D4" s="22" t="inlineStr">
        <is>
          <t>schizophrenia</t>
        </is>
      </c>
      <c r="E4" s="17" t="inlineStr">
        <is>
          <t>increased</t>
        </is>
      </c>
      <c r="F4" s="22" t="inlineStr">
        <is>
          <t>disease_vs_control</t>
        </is>
      </c>
      <c r="G4" s="22" t="inlineStr">
        <is>
          <t>gut</t>
        </is>
      </c>
      <c r="H4" s="22" t="inlineStr">
        <is>
          <t>0.027</t>
        </is>
      </c>
      <c r="I4" s="22" t="inlineStr">
        <is>
          <t>high</t>
        </is>
      </c>
      <c r="J4" s="23" t="inlineStr">
        <is>
          <t>verified</t>
        </is>
      </c>
      <c r="K4" s="23" t="inlineStr">
        <is>
          <t>keep</t>
        </is>
      </c>
      <c r="L4" s="24" t="inlineStr">
        <is>
          <t>Class Betaproteobacteria | Schizophrenia | 1. 13 [1. 01–1. 27] | 0. 027</t>
        </is>
      </c>
      <c r="M4" s="20" t="inlineStr"/>
      <c r="N4" s="21" t="inlineStr"/>
      <c r="O4" s="21" t="inlineStr"/>
    </row>
    <row r="5" ht="20" customHeight="1">
      <c r="A5" s="16" t="inlineStr">
        <is>
          <t>Clostridia</t>
        </is>
      </c>
      <c r="B5" s="16" t="inlineStr">
        <is>
          <t>bacteria</t>
        </is>
      </c>
      <c r="C5" s="16" t="inlineStr">
        <is>
          <t>class</t>
        </is>
      </c>
      <c r="D5" s="16" t="inlineStr">
        <is>
          <t>schizophrenia</t>
        </is>
      </c>
      <c r="E5" s="17" t="inlineStr">
        <is>
          <t>increased</t>
        </is>
      </c>
      <c r="F5" s="16" t="inlineStr">
        <is>
          <t>disease_vs_control</t>
        </is>
      </c>
      <c r="G5" s="16" t="inlineStr">
        <is>
          <t>gut</t>
        </is>
      </c>
      <c r="H5" s="16" t="inlineStr">
        <is>
          <t>4.22E-03</t>
        </is>
      </c>
      <c r="I5" s="16" t="inlineStr">
        <is>
          <t>high</t>
        </is>
      </c>
      <c r="J5" s="18" t="inlineStr">
        <is>
          <t>verified</t>
        </is>
      </c>
      <c r="K5" s="18" t="inlineStr">
        <is>
          <t>keep</t>
        </is>
      </c>
      <c r="L5" s="19" t="inlineStr">
        <is>
          <t>Class Clostridia | Schizophrenia | 1. 16 [1. 05–1. 28] | 4. 22E−03</t>
        </is>
      </c>
      <c r="M5" s="20" t="inlineStr"/>
      <c r="N5" s="21" t="inlineStr"/>
      <c r="O5" s="21" t="inlineStr"/>
    </row>
    <row r="6" ht="20" customHeight="1">
      <c r="A6" s="22" t="inlineStr">
        <is>
          <t>Clostridiales</t>
        </is>
      </c>
      <c r="B6" s="22" t="inlineStr">
        <is>
          <t>bacteria</t>
        </is>
      </c>
      <c r="C6" s="22" t="inlineStr">
        <is>
          <t>order</t>
        </is>
      </c>
      <c r="D6" s="22" t="inlineStr">
        <is>
          <t>schizophrenia</t>
        </is>
      </c>
      <c r="E6" s="17" t="inlineStr">
        <is>
          <t>increased</t>
        </is>
      </c>
      <c r="F6" s="22" t="inlineStr">
        <is>
          <t>disease_vs_control</t>
        </is>
      </c>
      <c r="G6" s="22" t="inlineStr">
        <is>
          <t>gut</t>
        </is>
      </c>
      <c r="H6" s="22" t="inlineStr">
        <is>
          <t>0.027</t>
        </is>
      </c>
      <c r="I6" s="22" t="inlineStr">
        <is>
          <t>high</t>
        </is>
      </c>
      <c r="J6" s="23" t="inlineStr">
        <is>
          <t>verified</t>
        </is>
      </c>
      <c r="K6" s="23" t="inlineStr">
        <is>
          <t>keep</t>
        </is>
      </c>
      <c r="L6" s="24" t="inlineStr">
        <is>
          <t>Order Clostridiales | Schizophrenia | 1. 12 [1. 01–1. 24] | 0. 027</t>
        </is>
      </c>
      <c r="M6" s="20" t="inlineStr"/>
      <c r="N6" s="21" t="inlineStr"/>
      <c r="O6" s="21" t="inlineStr"/>
    </row>
    <row r="7" ht="20" customHeight="1">
      <c r="A7" s="16" t="inlineStr">
        <is>
          <t>Prevotellaceae</t>
        </is>
      </c>
      <c r="B7" s="16" t="inlineStr">
        <is>
          <t>bacteria</t>
        </is>
      </c>
      <c r="C7" s="16" t="inlineStr">
        <is>
          <t>family</t>
        </is>
      </c>
      <c r="D7" s="16" t="inlineStr">
        <is>
          <t>schizophrenia</t>
        </is>
      </c>
      <c r="E7" s="17" t="inlineStr">
        <is>
          <t>increased</t>
        </is>
      </c>
      <c r="F7" s="16" t="inlineStr">
        <is>
          <t>disease_vs_control</t>
        </is>
      </c>
      <c r="G7" s="16" t="inlineStr">
        <is>
          <t>gut</t>
        </is>
      </c>
      <c r="H7" s="16" t="inlineStr">
        <is>
          <t>1.36E-03</t>
        </is>
      </c>
      <c r="I7" s="16" t="inlineStr">
        <is>
          <t>high</t>
        </is>
      </c>
      <c r="J7" s="18" t="inlineStr">
        <is>
          <t>verified</t>
        </is>
      </c>
      <c r="K7" s="18" t="inlineStr">
        <is>
          <t>keep</t>
        </is>
      </c>
      <c r="L7" s="19" t="inlineStr">
        <is>
          <t>Family Prevotellaceae | Schizophrenia | 1. 11 [1. 03–1. 20] | 1. 36E−03</t>
        </is>
      </c>
      <c r="M7" s="20" t="inlineStr"/>
      <c r="N7" s="21" t="inlineStr"/>
      <c r="O7" s="21" t="inlineStr"/>
    </row>
    <row r="8" ht="20" customHeight="1">
      <c r="A8" s="22" t="inlineStr">
        <is>
          <t>Rhodospirillaceae</t>
        </is>
      </c>
      <c r="B8" s="22" t="inlineStr">
        <is>
          <t>bacteria</t>
        </is>
      </c>
      <c r="C8" s="22" t="inlineStr">
        <is>
          <t>family</t>
        </is>
      </c>
      <c r="D8" s="22" t="inlineStr">
        <is>
          <t>schizophrenia</t>
        </is>
      </c>
      <c r="E8" s="27" t="inlineStr">
        <is>
          <t>decreased</t>
        </is>
      </c>
      <c r="F8" s="22" t="inlineStr">
        <is>
          <t>disease_vs_control</t>
        </is>
      </c>
      <c r="G8" s="22" t="inlineStr">
        <is>
          <t>gut</t>
        </is>
      </c>
      <c r="H8" s="22" t="inlineStr">
        <is>
          <t>0.049</t>
        </is>
      </c>
      <c r="I8" s="22" t="inlineStr">
        <is>
          <t>high</t>
        </is>
      </c>
      <c r="J8" s="23" t="inlineStr">
        <is>
          <t>verified</t>
        </is>
      </c>
      <c r="K8" s="23" t="inlineStr">
        <is>
          <t>keep</t>
        </is>
      </c>
      <c r="L8" s="24" t="inlineStr">
        <is>
          <t>six taxa served as protective factors for schizophrenia, including family Rhodospirillaceae, family Defluviitaleaceae, family Veillonellaceae, genus Coprobacter, genus Gordonibacter, and genus Desulfovibrio (OR: 0. 88–0. 94, p ≤ 0. 049)</t>
        </is>
      </c>
      <c r="M8" s="20" t="inlineStr"/>
      <c r="N8" s="21" t="inlineStr"/>
      <c r="O8" s="21" t="inlineStr"/>
    </row>
    <row r="9" ht="20" customHeight="1">
      <c r="A9" s="16" t="inlineStr">
        <is>
          <t>Defluviitaleaceae</t>
        </is>
      </c>
      <c r="B9" s="16" t="inlineStr">
        <is>
          <t>bacteria</t>
        </is>
      </c>
      <c r="C9" s="16" t="inlineStr">
        <is>
          <t>family</t>
        </is>
      </c>
      <c r="D9" s="16" t="inlineStr">
        <is>
          <t>schizophrenia</t>
        </is>
      </c>
      <c r="E9" s="27" t="inlineStr">
        <is>
          <t>decreased</t>
        </is>
      </c>
      <c r="F9" s="16" t="inlineStr">
        <is>
          <t>disease_vs_control</t>
        </is>
      </c>
      <c r="G9" s="16" t="inlineStr">
        <is>
          <t>gut</t>
        </is>
      </c>
      <c r="H9" s="16" t="inlineStr">
        <is>
          <t>0.041</t>
        </is>
      </c>
      <c r="I9" s="16" t="inlineStr">
        <is>
          <t>high</t>
        </is>
      </c>
      <c r="J9" s="18" t="inlineStr">
        <is>
          <t>verified</t>
        </is>
      </c>
      <c r="K9" s="18" t="inlineStr">
        <is>
          <t>keep</t>
        </is>
      </c>
      <c r="L9" s="19" t="inlineStr">
        <is>
          <t>Family Defluviitaleaceae | Schizophrenia | 0. 92 [0. 85–1. 00] | 0. 041</t>
        </is>
      </c>
      <c r="M9" s="20" t="inlineStr"/>
      <c r="N9" s="21" t="inlineStr"/>
      <c r="O9" s="21" t="inlineStr"/>
    </row>
    <row r="10" ht="20" customHeight="1">
      <c r="A10" s="22" t="inlineStr">
        <is>
          <t>Veillonellaceae</t>
        </is>
      </c>
      <c r="B10" s="22" t="inlineStr">
        <is>
          <t>bacteria</t>
        </is>
      </c>
      <c r="C10" s="22" t="inlineStr">
        <is>
          <t>family</t>
        </is>
      </c>
      <c r="D10" s="22" t="inlineStr">
        <is>
          <t>schizophrenia</t>
        </is>
      </c>
      <c r="E10" s="27" t="inlineStr">
        <is>
          <t>decreased</t>
        </is>
      </c>
      <c r="F10" s="22" t="inlineStr">
        <is>
          <t>disease_vs_control</t>
        </is>
      </c>
      <c r="G10" s="22" t="inlineStr">
        <is>
          <t>gut</t>
        </is>
      </c>
      <c r="H10" s="22" t="inlineStr">
        <is>
          <t>0.033</t>
        </is>
      </c>
      <c r="I10" s="22" t="inlineStr">
        <is>
          <t>high</t>
        </is>
      </c>
      <c r="J10" s="23" t="inlineStr">
        <is>
          <t>verified</t>
        </is>
      </c>
      <c r="K10" s="23" t="inlineStr">
        <is>
          <t>keep</t>
        </is>
      </c>
      <c r="L10" s="24" t="inlineStr">
        <is>
          <t>Family Veillonellaceae | Schizophrenia | 0. 93 [0. 87–0. 99] | 0. 033</t>
        </is>
      </c>
      <c r="M10" s="20" t="inlineStr"/>
      <c r="N10" s="21" t="inlineStr"/>
      <c r="O10" s="21" t="inlineStr"/>
    </row>
    <row r="11" ht="20" customHeight="1">
      <c r="A11" s="16" t="inlineStr">
        <is>
          <t>Alloprevotella</t>
        </is>
      </c>
      <c r="B11" s="16" t="inlineStr">
        <is>
          <t>bacteria</t>
        </is>
      </c>
      <c r="C11" s="16" t="inlineStr">
        <is>
          <t>genus</t>
        </is>
      </c>
      <c r="D11" s="16" t="inlineStr">
        <is>
          <t>schizophrenia</t>
        </is>
      </c>
      <c r="E11" s="17" t="inlineStr">
        <is>
          <t>increased</t>
        </is>
      </c>
      <c r="F11" s="16" t="inlineStr">
        <is>
          <t>disease_vs_control</t>
        </is>
      </c>
      <c r="G11" s="16" t="inlineStr">
        <is>
          <t>gut</t>
        </is>
      </c>
      <c r="H11" s="16" t="inlineStr">
        <is>
          <t>7.88E-03</t>
        </is>
      </c>
      <c r="I11" s="16" t="inlineStr">
        <is>
          <t>high</t>
        </is>
      </c>
      <c r="J11" s="18" t="inlineStr">
        <is>
          <t>verified</t>
        </is>
      </c>
      <c r="K11" s="18" t="inlineStr">
        <is>
          <t>keep</t>
        </is>
      </c>
      <c r="L11" s="19" t="inlineStr">
        <is>
          <t>Genus Alloprevotella | Schizophrenia | 1. 09 [1. 02–1. 16] | 7. 88E−03</t>
        </is>
      </c>
      <c r="M11" s="20" t="inlineStr"/>
      <c r="N11" s="21" t="inlineStr"/>
      <c r="O11" s="21" t="inlineStr"/>
    </row>
    <row r="12" ht="20" customHeight="1">
      <c r="A12" s="22" t="inlineStr">
        <is>
          <t>Coprobacter</t>
        </is>
      </c>
      <c r="B12" s="22" t="inlineStr">
        <is>
          <t>bacteria</t>
        </is>
      </c>
      <c r="C12" s="22" t="inlineStr">
        <is>
          <t>genus</t>
        </is>
      </c>
      <c r="D12" s="22" t="inlineStr">
        <is>
          <t>schizophrenia</t>
        </is>
      </c>
      <c r="E12" s="27" t="inlineStr">
        <is>
          <t>decreased</t>
        </is>
      </c>
      <c r="F12" s="22" t="inlineStr">
        <is>
          <t>disease_vs_control</t>
        </is>
      </c>
      <c r="G12" s="22" t="inlineStr">
        <is>
          <t>gut</t>
        </is>
      </c>
      <c r="H12" s="22" t="inlineStr">
        <is>
          <t>7.29E-03</t>
        </is>
      </c>
      <c r="I12" s="22" t="inlineStr">
        <is>
          <t>high</t>
        </is>
      </c>
      <c r="J12" s="23" t="inlineStr">
        <is>
          <t>verified</t>
        </is>
      </c>
      <c r="K12" s="23" t="inlineStr">
        <is>
          <t>keep</t>
        </is>
      </c>
      <c r="L12" s="24" t="inlineStr">
        <is>
          <t>Genus Coprobacter | Schizophrenia | 0. 92 [0. 86–0. 98] | 7. 29E−03</t>
        </is>
      </c>
      <c r="M12" s="20" t="inlineStr"/>
      <c r="N12" s="21" t="inlineStr"/>
      <c r="O12" s="21" t="inlineStr"/>
    </row>
    <row r="13" ht="20" customHeight="1">
      <c r="A13" s="16" t="inlineStr">
        <is>
          <t>Desulfovibrio</t>
        </is>
      </c>
      <c r="B13" s="16" t="inlineStr">
        <is>
          <t>bacteria</t>
        </is>
      </c>
      <c r="C13" s="16" t="inlineStr">
        <is>
          <t>genus</t>
        </is>
      </c>
      <c r="D13" s="16" t="inlineStr">
        <is>
          <t>schizophrenia</t>
        </is>
      </c>
      <c r="E13" s="27" t="inlineStr">
        <is>
          <t>decreased</t>
        </is>
      </c>
      <c r="F13" s="16" t="inlineStr">
        <is>
          <t>disease_vs_control</t>
        </is>
      </c>
      <c r="G13" s="16" t="inlineStr">
        <is>
          <t>gut</t>
        </is>
      </c>
      <c r="H13" s="16" t="inlineStr">
        <is>
          <t>1.89E-03</t>
        </is>
      </c>
      <c r="I13" s="16" t="inlineStr">
        <is>
          <t>high</t>
        </is>
      </c>
      <c r="J13" s="18" t="inlineStr">
        <is>
          <t>verified</t>
        </is>
      </c>
      <c r="K13" s="18" t="inlineStr">
        <is>
          <t>keep</t>
        </is>
      </c>
      <c r="L13" s="19" t="inlineStr">
        <is>
          <t>Genus Desulfovibrio | Schizophrenia | 0. 88 [0. 82–0. 96] | 1. 89E−03</t>
        </is>
      </c>
      <c r="M13" s="20" t="inlineStr"/>
      <c r="N13" s="21" t="inlineStr"/>
      <c r="O13" s="21" t="inlineStr"/>
    </row>
    <row r="14" ht="20" customHeight="1">
      <c r="A14" s="22" t="inlineStr">
        <is>
          <t>FamilyXIIIUCG001</t>
        </is>
      </c>
      <c r="B14" s="22" t="inlineStr">
        <is>
          <t>bacteria</t>
        </is>
      </c>
      <c r="C14" s="22" t="inlineStr">
        <is>
          <t>genus</t>
        </is>
      </c>
      <c r="D14" s="22" t="inlineStr">
        <is>
          <t>schizophrenia</t>
        </is>
      </c>
      <c r="E14" s="17" t="inlineStr">
        <is>
          <t>increased</t>
        </is>
      </c>
      <c r="F14" s="22" t="inlineStr">
        <is>
          <t>disease_vs_control</t>
        </is>
      </c>
      <c r="G14" s="22" t="inlineStr">
        <is>
          <t>gut</t>
        </is>
      </c>
      <c r="H14" s="22" t="inlineStr">
        <is>
          <t>0.044</t>
        </is>
      </c>
      <c r="I14" s="22" t="inlineStr">
        <is>
          <t>high</t>
        </is>
      </c>
      <c r="J14" s="23" t="inlineStr">
        <is>
          <t>verified</t>
        </is>
      </c>
      <c r="K14" s="23" t="inlineStr">
        <is>
          <t>keep</t>
        </is>
      </c>
      <c r="L14" s="24" t="inlineStr">
        <is>
          <t>Genus FamilyXIIIUCG001 | Schizophrenia | 1. 14 [1. 00–1. 29] | 0. 044</t>
        </is>
      </c>
      <c r="M14" s="20" t="inlineStr"/>
      <c r="N14" s="21" t="inlineStr"/>
      <c r="O14" s="21" t="inlineStr"/>
    </row>
    <row r="15" ht="20" customHeight="1">
      <c r="A15" s="16" t="inlineStr">
        <is>
          <t>Gordonibacter</t>
        </is>
      </c>
      <c r="B15" s="16" t="inlineStr">
        <is>
          <t>bacteria</t>
        </is>
      </c>
      <c r="C15" s="16" t="inlineStr">
        <is>
          <t>genus</t>
        </is>
      </c>
      <c r="D15" s="16" t="inlineStr">
        <is>
          <t>schizophrenia</t>
        </is>
      </c>
      <c r="E15" s="27" t="inlineStr">
        <is>
          <t>decreased</t>
        </is>
      </c>
      <c r="F15" s="16" t="inlineStr">
        <is>
          <t>disease_vs_control</t>
        </is>
      </c>
      <c r="G15" s="16" t="inlineStr">
        <is>
          <t>gut</t>
        </is>
      </c>
      <c r="H15" s="16" t="inlineStr">
        <is>
          <t>0.012</t>
        </is>
      </c>
      <c r="I15" s="16" t="inlineStr">
        <is>
          <t>high</t>
        </is>
      </c>
      <c r="J15" s="18" t="inlineStr">
        <is>
          <t>verified</t>
        </is>
      </c>
      <c r="K15" s="18" t="inlineStr">
        <is>
          <t>keep</t>
        </is>
      </c>
      <c r="L15" s="19" t="inlineStr">
        <is>
          <t>Genus Gordonibacter | Schizophrenia | 0. 94 [0. 89–0. 99] | 0. 012</t>
        </is>
      </c>
      <c r="M15" s="20" t="inlineStr"/>
      <c r="N15" s="21" t="inlineStr"/>
      <c r="O15" s="21" t="inlineStr"/>
    </row>
    <row r="16" ht="20" customHeight="1">
      <c r="A16" s="22" t="inlineStr">
        <is>
          <t>Hungatella</t>
        </is>
      </c>
      <c r="B16" s="22" t="inlineStr">
        <is>
          <t>bacteria</t>
        </is>
      </c>
      <c r="C16" s="22" t="inlineStr">
        <is>
          <t>genus</t>
        </is>
      </c>
      <c r="D16" s="22" t="inlineStr">
        <is>
          <t>schizophrenia</t>
        </is>
      </c>
      <c r="E16" s="17" t="inlineStr">
        <is>
          <t>increased</t>
        </is>
      </c>
      <c r="F16" s="22" t="inlineStr">
        <is>
          <t>disease_vs_control</t>
        </is>
      </c>
      <c r="G16" s="22" t="inlineStr">
        <is>
          <t>gut</t>
        </is>
      </c>
      <c r="H16" s="22" t="inlineStr">
        <is>
          <t>0.043</t>
        </is>
      </c>
      <c r="I16" s="22" t="inlineStr">
        <is>
          <t>high</t>
        </is>
      </c>
      <c r="J16" s="23" t="inlineStr">
        <is>
          <t>verified</t>
        </is>
      </c>
      <c r="K16" s="23" t="inlineStr">
        <is>
          <t>keep</t>
        </is>
      </c>
      <c r="L16" s="24" t="inlineStr">
        <is>
          <t>Genus Hungatella | Schizophrenia | 1. 08 [1. 00–1. 17] | 0. 043</t>
        </is>
      </c>
      <c r="M16" s="20" t="inlineStr"/>
      <c r="N16" s="21" t="inlineStr"/>
      <c r="O16" s="21" t="inlineStr"/>
    </row>
    <row r="17" ht="20" customHeight="1">
      <c r="A17" s="16" t="inlineStr">
        <is>
          <t>Subdoligranulum</t>
        </is>
      </c>
      <c r="B17" s="16" t="inlineStr">
        <is>
          <t>bacteria</t>
        </is>
      </c>
      <c r="C17" s="16" t="inlineStr">
        <is>
          <t>genus</t>
        </is>
      </c>
      <c r="D17" s="16" t="inlineStr">
        <is>
          <t>schizophrenia</t>
        </is>
      </c>
      <c r="E17" s="17" t="inlineStr">
        <is>
          <t>increased</t>
        </is>
      </c>
      <c r="F17" s="16" t="inlineStr">
        <is>
          <t>disease_vs_control</t>
        </is>
      </c>
      <c r="G17" s="16" t="inlineStr">
        <is>
          <t>gut</t>
        </is>
      </c>
      <c r="H17" s="16" t="inlineStr">
        <is>
          <t>0.015</t>
        </is>
      </c>
      <c r="I17" s="16" t="inlineStr">
        <is>
          <t>high</t>
        </is>
      </c>
      <c r="J17" s="18" t="inlineStr">
        <is>
          <t>verified</t>
        </is>
      </c>
      <c r="K17" s="18" t="inlineStr">
        <is>
          <t>keep</t>
        </is>
      </c>
      <c r="L17" s="19" t="inlineStr">
        <is>
          <t>Genus Subdoligranulum | Schizophrenia | 1. 14 [1. 03–1. 27] | 0. 015</t>
        </is>
      </c>
      <c r="M17" s="20" t="inlineStr"/>
      <c r="N17" s="21" t="inlineStr"/>
      <c r="O17" s="21" t="inlineStr"/>
    </row>
    <row r="18" ht="20" customHeight="1">
      <c r="A18" s="22" t="inlineStr">
        <is>
          <t>Verrucomicrobiae</t>
        </is>
      </c>
      <c r="B18" s="22" t="inlineStr">
        <is>
          <t>bacteria</t>
        </is>
      </c>
      <c r="C18" s="22" t="inlineStr">
        <is>
          <t>class</t>
        </is>
      </c>
      <c r="D18" s="22" t="inlineStr">
        <is>
          <t>schizophrenia</t>
        </is>
      </c>
      <c r="E18" s="17" t="inlineStr">
        <is>
          <t>increased</t>
        </is>
      </c>
      <c r="F18" s="22" t="inlineStr">
        <is>
          <t>disease_vs_control</t>
        </is>
      </c>
      <c r="G18" s="22" t="inlineStr">
        <is>
          <t>gut</t>
        </is>
      </c>
      <c r="H18" s="22" t="inlineStr">
        <is>
          <t>0.039</t>
        </is>
      </c>
      <c r="I18" s="22" t="inlineStr">
        <is>
          <t>high</t>
        </is>
      </c>
      <c r="J18" s="23" t="inlineStr">
        <is>
          <t>verified</t>
        </is>
      </c>
      <c r="K18" s="23" t="inlineStr">
        <is>
          <t>keep</t>
        </is>
      </c>
      <c r="L18" s="24" t="inlineStr">
        <is>
          <t>schizophrenia may increase the abundance of nine taxa, including class Verrucomicrobiae, family Bacteroidaceae, family Verrucomicrobiaceae, genus Akkermansia, genus Bacteroides, genus Candidatus Soleaferrea, genus Lachnospira, genus Ruminiclostridium5, and order Verrucomicrobiales (OR: 1. 03–1. 08, p ≤ 0. 04)</t>
        </is>
      </c>
      <c r="M18" s="20" t="inlineStr"/>
      <c r="N18" s="21" t="inlineStr"/>
      <c r="O18" s="21" t="inlineStr"/>
    </row>
    <row r="19" ht="20" customHeight="1">
      <c r="A19" s="16" t="inlineStr">
        <is>
          <t>Bacteroidaceae</t>
        </is>
      </c>
      <c r="B19" s="16" t="inlineStr">
        <is>
          <t>bacteria</t>
        </is>
      </c>
      <c r="C19" s="16" t="inlineStr">
        <is>
          <t>family</t>
        </is>
      </c>
      <c r="D19" s="16" t="inlineStr">
        <is>
          <t>schizophrenia</t>
        </is>
      </c>
      <c r="E19" s="17" t="inlineStr">
        <is>
          <t>increased</t>
        </is>
      </c>
      <c r="F19" s="16" t="inlineStr">
        <is>
          <t>disease_vs_control</t>
        </is>
      </c>
      <c r="G19" s="16" t="inlineStr">
        <is>
          <t>gut</t>
        </is>
      </c>
      <c r="H19" s="16" t="inlineStr">
        <is>
          <t>0.039</t>
        </is>
      </c>
      <c r="I19" s="16" t="inlineStr">
        <is>
          <t>high</t>
        </is>
      </c>
      <c r="J19" s="18" t="inlineStr">
        <is>
          <t>verified</t>
        </is>
      </c>
      <c r="K19" s="18" t="inlineStr">
        <is>
          <t>keep</t>
        </is>
      </c>
      <c r="L19" s="19" t="inlineStr">
        <is>
          <t>Schizophrenia | Family Bacteroidaceae | 1. 03 [1. 00–1. 07] | 0. 039</t>
        </is>
      </c>
      <c r="M19" s="20" t="inlineStr"/>
      <c r="N19" s="21" t="inlineStr"/>
      <c r="O19" s="21" t="inlineStr"/>
    </row>
    <row r="20" ht="20" customHeight="1">
      <c r="A20" s="22" t="inlineStr">
        <is>
          <t>Defluviitaleaceae</t>
        </is>
      </c>
      <c r="B20" s="22" t="inlineStr">
        <is>
          <t>bacteria</t>
        </is>
      </c>
      <c r="C20" s="22" t="inlineStr">
        <is>
          <t>family</t>
        </is>
      </c>
      <c r="D20" s="22" t="inlineStr">
        <is>
          <t>schizophrenia</t>
        </is>
      </c>
      <c r="E20" s="27" t="inlineStr">
        <is>
          <t>decreased</t>
        </is>
      </c>
      <c r="F20" s="22" t="inlineStr">
        <is>
          <t>disease_vs_control</t>
        </is>
      </c>
      <c r="G20" s="22" t="inlineStr">
        <is>
          <t>gut</t>
        </is>
      </c>
      <c r="H20" s="22" t="inlineStr">
        <is>
          <t>7.12E-03</t>
        </is>
      </c>
      <c r="I20" s="22" t="inlineStr">
        <is>
          <t>high</t>
        </is>
      </c>
      <c r="J20" s="23" t="inlineStr">
        <is>
          <t>verified</t>
        </is>
      </c>
      <c r="K20" s="23" t="inlineStr">
        <is>
          <t>keep</t>
        </is>
      </c>
      <c r="L20" s="24" t="inlineStr">
        <is>
          <t>schizophrenia may reduce the abundance of family Defluviitaleaceae and genus DefluviitaleaceaeUCG011 (OR: 0. 94, p ≤ 7. 12 × 10−3)</t>
        </is>
      </c>
      <c r="M20" s="20" t="inlineStr"/>
      <c r="N20" s="21" t="inlineStr"/>
      <c r="O20" s="21" t="inlineStr"/>
    </row>
    <row r="21" ht="20" customHeight="1">
      <c r="A21" s="16" t="inlineStr">
        <is>
          <t>Verrucomicrobiaceae</t>
        </is>
      </c>
      <c r="B21" s="16" t="inlineStr">
        <is>
          <t>bacteria</t>
        </is>
      </c>
      <c r="C21" s="16" t="inlineStr">
        <is>
          <t>family</t>
        </is>
      </c>
      <c r="D21" s="16" t="inlineStr">
        <is>
          <t>schizophrenia</t>
        </is>
      </c>
      <c r="E21" s="17" t="inlineStr">
        <is>
          <t>increased</t>
        </is>
      </c>
      <c r="F21" s="16" t="inlineStr">
        <is>
          <t>disease_vs_control</t>
        </is>
      </c>
      <c r="G21" s="16" t="inlineStr">
        <is>
          <t>gut</t>
        </is>
      </c>
      <c r="H21" s="16" t="inlineStr">
        <is>
          <t>0.039</t>
        </is>
      </c>
      <c r="I21" s="16" t="inlineStr">
        <is>
          <t>high</t>
        </is>
      </c>
      <c r="J21" s="18" t="inlineStr">
        <is>
          <t>verified</t>
        </is>
      </c>
      <c r="K21" s="18" t="inlineStr">
        <is>
          <t>keep</t>
        </is>
      </c>
      <c r="L21" s="19" t="inlineStr">
        <is>
          <t>Schizophrenia | Family Verrucomicrobiaceae | 1. 04 [1. 00–1. 09] | 0. 039</t>
        </is>
      </c>
      <c r="M21" s="20" t="inlineStr"/>
      <c r="N21" s="21" t="inlineStr"/>
      <c r="O21" s="21" t="inlineStr"/>
    </row>
    <row r="22" ht="20" customHeight="1">
      <c r="A22" s="22" t="inlineStr">
        <is>
          <t>Akkermansia</t>
        </is>
      </c>
      <c r="B22" s="22" t="inlineStr">
        <is>
          <t>bacteria</t>
        </is>
      </c>
      <c r="C22" s="22" t="inlineStr">
        <is>
          <t>genus</t>
        </is>
      </c>
      <c r="D22" s="22" t="inlineStr">
        <is>
          <t>schizophrenia</t>
        </is>
      </c>
      <c r="E22" s="17" t="inlineStr">
        <is>
          <t>increased</t>
        </is>
      </c>
      <c r="F22" s="22" t="inlineStr">
        <is>
          <t>disease_vs_control</t>
        </is>
      </c>
      <c r="G22" s="22" t="inlineStr">
        <is>
          <t>gut</t>
        </is>
      </c>
      <c r="H22" s="22" t="inlineStr">
        <is>
          <t>0.040</t>
        </is>
      </c>
      <c r="I22" s="22" t="inlineStr">
        <is>
          <t>high</t>
        </is>
      </c>
      <c r="J22" s="23" t="inlineStr">
        <is>
          <t>verified</t>
        </is>
      </c>
      <c r="K22" s="23" t="inlineStr">
        <is>
          <t>keep</t>
        </is>
      </c>
      <c r="L22" s="24" t="inlineStr">
        <is>
          <t>Schizophrenia | Genus Akkermansia | 1. 04 [1. 00–1. 09] | 0. 040</t>
        </is>
      </c>
      <c r="M22" s="20" t="inlineStr"/>
      <c r="N22" s="21" t="inlineStr"/>
      <c r="O22" s="21" t="inlineStr"/>
    </row>
    <row r="23" ht="20" customHeight="1">
      <c r="A23" s="16" t="inlineStr">
        <is>
          <t>Bacteroides</t>
        </is>
      </c>
      <c r="B23" s="16" t="inlineStr">
        <is>
          <t>bacteria</t>
        </is>
      </c>
      <c r="C23" s="16" t="inlineStr">
        <is>
          <t>genus</t>
        </is>
      </c>
      <c r="D23" s="16" t="inlineStr">
        <is>
          <t>schizophrenia</t>
        </is>
      </c>
      <c r="E23" s="17" t="inlineStr">
        <is>
          <t>increased</t>
        </is>
      </c>
      <c r="F23" s="16" t="inlineStr">
        <is>
          <t>disease_vs_control</t>
        </is>
      </c>
      <c r="G23" s="16" t="inlineStr">
        <is>
          <t>gut</t>
        </is>
      </c>
      <c r="H23" s="16" t="inlineStr">
        <is>
          <t>0.039</t>
        </is>
      </c>
      <c r="I23" s="16" t="inlineStr">
        <is>
          <t>high</t>
        </is>
      </c>
      <c r="J23" s="18" t="inlineStr">
        <is>
          <t>verified</t>
        </is>
      </c>
      <c r="K23" s="18" t="inlineStr">
        <is>
          <t>keep</t>
        </is>
      </c>
      <c r="L23" s="19" t="inlineStr">
        <is>
          <t>Schizophrenia | Genus Bacteroides | 1. 03 [1. 00–1. 07] | 0. 039</t>
        </is>
      </c>
      <c r="M23" s="20" t="inlineStr"/>
      <c r="N23" s="21" t="inlineStr"/>
      <c r="O23" s="21" t="inlineStr"/>
    </row>
    <row r="24" ht="20" customHeight="1">
      <c r="A24" s="22" t="inlineStr">
        <is>
          <t>Candidatus Soleaferrea</t>
        </is>
      </c>
      <c r="B24" s="22" t="inlineStr">
        <is>
          <t>bacteria</t>
        </is>
      </c>
      <c r="C24" s="22" t="inlineStr">
        <is>
          <t>genus</t>
        </is>
      </c>
      <c r="D24" s="22" t="inlineStr">
        <is>
          <t>schizophrenia</t>
        </is>
      </c>
      <c r="E24" s="17" t="inlineStr">
        <is>
          <t>increased</t>
        </is>
      </c>
      <c r="F24" s="22" t="inlineStr">
        <is>
          <t>disease_vs_control</t>
        </is>
      </c>
      <c r="G24" s="22" t="inlineStr">
        <is>
          <t>gut</t>
        </is>
      </c>
      <c r="H24" s="22" t="inlineStr">
        <is>
          <t>5.19E-03</t>
        </is>
      </c>
      <c r="I24" s="22" t="inlineStr">
        <is>
          <t>high</t>
        </is>
      </c>
      <c r="J24" s="23" t="inlineStr">
        <is>
          <t>verified</t>
        </is>
      </c>
      <c r="K24" s="23" t="inlineStr">
        <is>
          <t>keep</t>
        </is>
      </c>
      <c r="L24" s="24" t="inlineStr">
        <is>
          <t>Schizophrenia | Genus Candidatus Soleaferrea | 1. 08 [1. 02–1. 14] | 5. 19E−03</t>
        </is>
      </c>
      <c r="M24" s="20" t="inlineStr"/>
      <c r="N24" s="21" t="inlineStr"/>
      <c r="O24" s="21" t="inlineStr"/>
    </row>
    <row r="25" ht="20" customHeight="1">
      <c r="A25" s="16" t="inlineStr">
        <is>
          <t>DefluviitaleaceaeUCG011</t>
        </is>
      </c>
      <c r="B25" s="16" t="inlineStr">
        <is>
          <t>bacteria</t>
        </is>
      </c>
      <c r="C25" s="16" t="inlineStr">
        <is>
          <t>genus</t>
        </is>
      </c>
      <c r="D25" s="16" t="inlineStr">
        <is>
          <t>schizophrenia</t>
        </is>
      </c>
      <c r="E25" s="27" t="inlineStr">
        <is>
          <t>decreased</t>
        </is>
      </c>
      <c r="F25" s="16" t="inlineStr">
        <is>
          <t>disease_vs_control</t>
        </is>
      </c>
      <c r="G25" s="16" t="inlineStr">
        <is>
          <t>gut</t>
        </is>
      </c>
      <c r="H25" s="16" t="inlineStr">
        <is>
          <t>7.06E-03</t>
        </is>
      </c>
      <c r="I25" s="16" t="inlineStr">
        <is>
          <t>high</t>
        </is>
      </c>
      <c r="J25" s="18" t="inlineStr">
        <is>
          <t>verified</t>
        </is>
      </c>
      <c r="K25" s="18" t="inlineStr">
        <is>
          <t>keep</t>
        </is>
      </c>
      <c r="L25" s="19" t="inlineStr">
        <is>
          <t>schizophrenia may reduce the abundance of family Defluviitaleaceae and genus DefluviitaleaceaeUCG011 (OR: 0. 94, p ≤ 7. 12 × 10−3)</t>
        </is>
      </c>
      <c r="M25" s="20" t="inlineStr"/>
      <c r="N25" s="21" t="inlineStr"/>
      <c r="O25" s="21" t="inlineStr"/>
    </row>
    <row r="26" ht="20" customHeight="1">
      <c r="A26" s="22" t="inlineStr">
        <is>
          <t>Lachnospira</t>
        </is>
      </c>
      <c r="B26" s="22" t="inlineStr">
        <is>
          <t>bacteria</t>
        </is>
      </c>
      <c r="C26" s="22" t="inlineStr">
        <is>
          <t>genus</t>
        </is>
      </c>
      <c r="D26" s="22" t="inlineStr">
        <is>
          <t>schizophrenia</t>
        </is>
      </c>
      <c r="E26" s="17" t="inlineStr">
        <is>
          <t>increased</t>
        </is>
      </c>
      <c r="F26" s="22" t="inlineStr">
        <is>
          <t>disease_vs_control</t>
        </is>
      </c>
      <c r="G26" s="22" t="inlineStr">
        <is>
          <t>gut</t>
        </is>
      </c>
      <c r="H26" s="22" t="inlineStr">
        <is>
          <t>0.036</t>
        </is>
      </c>
      <c r="I26" s="22" t="inlineStr">
        <is>
          <t>high</t>
        </is>
      </c>
      <c r="J26" s="23" t="inlineStr">
        <is>
          <t>verified</t>
        </is>
      </c>
      <c r="K26" s="23" t="inlineStr">
        <is>
          <t>keep</t>
        </is>
      </c>
      <c r="L26" s="24" t="inlineStr">
        <is>
          <t>Schizophrenia | Genus Lachnospira | 1. 04 [1. 00–1. 07] | 0. 036</t>
        </is>
      </c>
      <c r="M26" s="20" t="inlineStr"/>
      <c r="N26" s="21" t="inlineStr"/>
      <c r="O26" s="21" t="inlineStr"/>
    </row>
    <row r="27" ht="20" customHeight="1">
      <c r="A27" s="16" t="inlineStr">
        <is>
          <t>Ruminiclostridium5</t>
        </is>
      </c>
      <c r="B27" s="16" t="inlineStr">
        <is>
          <t>bacteria</t>
        </is>
      </c>
      <c r="C27" s="16" t="inlineStr">
        <is>
          <t>genus</t>
        </is>
      </c>
      <c r="D27" s="16" t="inlineStr">
        <is>
          <t>schizophrenia</t>
        </is>
      </c>
      <c r="E27" s="17" t="inlineStr">
        <is>
          <t>increased</t>
        </is>
      </c>
      <c r="F27" s="16" t="inlineStr">
        <is>
          <t>disease_vs_control</t>
        </is>
      </c>
      <c r="G27" s="16" t="inlineStr">
        <is>
          <t>gut</t>
        </is>
      </c>
      <c r="H27" s="16" t="inlineStr">
        <is>
          <t>3.03E-03</t>
        </is>
      </c>
      <c r="I27" s="16" t="inlineStr">
        <is>
          <t>high</t>
        </is>
      </c>
      <c r="J27" s="18" t="inlineStr">
        <is>
          <t>verified</t>
        </is>
      </c>
      <c r="K27" s="18" t="inlineStr">
        <is>
          <t>keep</t>
        </is>
      </c>
      <c r="L27" s="19" t="inlineStr">
        <is>
          <t>Schizophrenia | Genus Ruminiclostridium5 | 1. 05 [1. 02–1. 08] | 3. 03E−03</t>
        </is>
      </c>
      <c r="M27" s="20" t="inlineStr"/>
      <c r="N27" s="21" t="inlineStr"/>
      <c r="O27" s="21" t="inlineStr"/>
    </row>
    <row r="28" ht="20" customHeight="1">
      <c r="A28" s="22" t="inlineStr">
        <is>
          <t>Verrucomicrobiales</t>
        </is>
      </c>
      <c r="B28" s="22" t="inlineStr">
        <is>
          <t>bacteria</t>
        </is>
      </c>
      <c r="C28" s="22" t="inlineStr">
        <is>
          <t>order</t>
        </is>
      </c>
      <c r="D28" s="22" t="inlineStr">
        <is>
          <t>schizophrenia</t>
        </is>
      </c>
      <c r="E28" s="17" t="inlineStr">
        <is>
          <t>increased</t>
        </is>
      </c>
      <c r="F28" s="22" t="inlineStr">
        <is>
          <t>disease_vs_control</t>
        </is>
      </c>
      <c r="G28" s="22" t="inlineStr">
        <is>
          <t>gut</t>
        </is>
      </c>
      <c r="H28" s="22" t="inlineStr">
        <is>
          <t>0.039</t>
        </is>
      </c>
      <c r="I28" s="22" t="inlineStr">
        <is>
          <t>high</t>
        </is>
      </c>
      <c r="J28" s="23" t="inlineStr">
        <is>
          <t>verified</t>
        </is>
      </c>
      <c r="K28" s="23" t="inlineStr">
        <is>
          <t>keep</t>
        </is>
      </c>
      <c r="L28" s="24" t="inlineStr">
        <is>
          <t>Schizophrenia | Order Verrucomicrobiales | 1. 04 [1. 00–1. 09] | 0. 039</t>
        </is>
      </c>
      <c r="M28" s="20" t="inlineStr"/>
      <c r="N28" s="21" t="inlineStr"/>
      <c r="O28"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28" showDropDown="0" showInputMessage="0" showErrorMessage="0" allowBlank="1" type="list">
      <formula1>"approved,rejected,modified"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32"/>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943 — Oral Microbiome in Nonsmoker Patients with Oral Cavity Squamous Cell Carcinoma, Defined by Metagenomic Shotgun Sequencing</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Bacteroidetes</t>
        </is>
      </c>
      <c r="B3" s="16" t="inlineStr">
        <is>
          <t>bacteria</t>
        </is>
      </c>
      <c r="C3" s="16" t="inlineStr">
        <is>
          <t>phylum</t>
        </is>
      </c>
      <c r="D3" s="16" t="inlineStr">
        <is>
          <t>oral cavity squamous cell carcinoma</t>
        </is>
      </c>
      <c r="E3" s="17" t="inlineStr">
        <is>
          <t>increased</t>
        </is>
      </c>
      <c r="F3" s="16" t="inlineStr">
        <is>
          <t>disease_vs_control</t>
        </is>
      </c>
      <c r="G3" s="16" t="inlineStr">
        <is>
          <t>oral</t>
        </is>
      </c>
      <c r="H3" s="16" t="inlineStr">
        <is>
          <t>0.0483</t>
        </is>
      </c>
      <c r="I3" s="16" t="inlineStr">
        <is>
          <t>high</t>
        </is>
      </c>
      <c r="J3" s="18" t="inlineStr">
        <is>
          <t>verified</t>
        </is>
      </c>
      <c r="K3" s="18" t="inlineStr">
        <is>
          <t>keep</t>
        </is>
      </c>
      <c r="L3" s="19" t="inlineStr">
        <is>
          <t>At the phylum level, Bacteroidetes (q = 0.0483), Synergistetes (q = 0.0599), and Spirochaetes (q = 0.168) were significantly more abundant in OC-SCC than in controls, while Actinobacteria (q = 0.0008) and Firmicutes (q = 0.05) were less abundant in OC-SCC than in controls</t>
        </is>
      </c>
      <c r="M3" s="20" t="inlineStr"/>
      <c r="N3" s="21" t="inlineStr"/>
      <c r="O3" s="21" t="inlineStr"/>
    </row>
    <row r="4" ht="20" customHeight="1">
      <c r="A4" s="22" t="inlineStr">
        <is>
          <t>Synergistetes</t>
        </is>
      </c>
      <c r="B4" s="22" t="inlineStr">
        <is>
          <t>bacteria</t>
        </is>
      </c>
      <c r="C4" s="22" t="inlineStr">
        <is>
          <t>phylum</t>
        </is>
      </c>
      <c r="D4" s="22" t="inlineStr">
        <is>
          <t>oral cavity squamous cell carcinoma</t>
        </is>
      </c>
      <c r="E4" s="17" t="inlineStr">
        <is>
          <t>increased</t>
        </is>
      </c>
      <c r="F4" s="22" t="inlineStr">
        <is>
          <t>disease_vs_control</t>
        </is>
      </c>
      <c r="G4" s="22" t="inlineStr">
        <is>
          <t>oral</t>
        </is>
      </c>
      <c r="H4" s="22" t="inlineStr">
        <is>
          <t>0.0599</t>
        </is>
      </c>
      <c r="I4" s="22" t="inlineStr">
        <is>
          <t>medium</t>
        </is>
      </c>
      <c r="J4" s="23" t="inlineStr">
        <is>
          <t>verified</t>
        </is>
      </c>
      <c r="K4" s="23" t="inlineStr">
        <is>
          <t>keep</t>
        </is>
      </c>
      <c r="L4" s="24" t="inlineStr">
        <is>
          <t>At the phylum level, Bacteroidetes (q = 0.0483), Synergistetes (q = 0.0599), and Spirochaetes (q = 0.168) were significantly more abundant in OC-SCC than in controls, while Actinobacteria (q = 0.0008) and Firmicutes (q = 0.05) were less abundant in OC-SCC than in controls</t>
        </is>
      </c>
      <c r="M4" s="20" t="inlineStr"/>
      <c r="N4" s="21" t="inlineStr"/>
      <c r="O4" s="21" t="inlineStr"/>
    </row>
    <row r="5" ht="20" customHeight="1">
      <c r="A5" s="16" t="inlineStr">
        <is>
          <t>Spirochaetes</t>
        </is>
      </c>
      <c r="B5" s="16" t="inlineStr">
        <is>
          <t>bacteria</t>
        </is>
      </c>
      <c r="C5" s="16" t="inlineStr">
        <is>
          <t>phylum</t>
        </is>
      </c>
      <c r="D5" s="16" t="inlineStr">
        <is>
          <t>oral cavity squamous cell carcinoma</t>
        </is>
      </c>
      <c r="E5" s="17" t="inlineStr">
        <is>
          <t>increased</t>
        </is>
      </c>
      <c r="F5" s="16" t="inlineStr">
        <is>
          <t>disease_vs_control</t>
        </is>
      </c>
      <c r="G5" s="16" t="inlineStr">
        <is>
          <t>oral</t>
        </is>
      </c>
      <c r="H5" s="16" t="inlineStr">
        <is>
          <t>0.168</t>
        </is>
      </c>
      <c r="I5" s="16" t="inlineStr">
        <is>
          <t>low</t>
        </is>
      </c>
      <c r="J5" s="18" t="inlineStr">
        <is>
          <t>verified</t>
        </is>
      </c>
      <c r="K5" s="18" t="inlineStr">
        <is>
          <t>keep_flagged</t>
        </is>
      </c>
      <c r="L5" s="19" t="inlineStr">
        <is>
          <t>At the phylum level, Bacteroidetes (q = 0.0483), Synergistetes (q = 0.0599), and Spirochaetes (q = 0.168) were significantly more abundant in OC-SCC than in controls, while Actinobacteria (q = 0.0008) and Firmicutes (q = 0.05) were less abundant in OC-SCC than in controls</t>
        </is>
      </c>
      <c r="M5" s="20" t="inlineStr"/>
      <c r="N5" s="21" t="inlineStr"/>
      <c r="O5" s="21" t="inlineStr"/>
    </row>
    <row r="6" ht="20" customHeight="1">
      <c r="A6" s="22" t="inlineStr">
        <is>
          <t>Actinobacteria</t>
        </is>
      </c>
      <c r="B6" s="22" t="inlineStr">
        <is>
          <t>bacteria</t>
        </is>
      </c>
      <c r="C6" s="22" t="inlineStr">
        <is>
          <t>phylum</t>
        </is>
      </c>
      <c r="D6" s="22" t="inlineStr">
        <is>
          <t>oral cavity squamous cell carcinoma</t>
        </is>
      </c>
      <c r="E6" s="27" t="inlineStr">
        <is>
          <t>decreased</t>
        </is>
      </c>
      <c r="F6" s="22" t="inlineStr">
        <is>
          <t>disease_vs_control</t>
        </is>
      </c>
      <c r="G6" s="22" t="inlineStr">
        <is>
          <t>oral</t>
        </is>
      </c>
      <c r="H6" s="22" t="inlineStr">
        <is>
          <t>0.0008</t>
        </is>
      </c>
      <c r="I6" s="22" t="inlineStr">
        <is>
          <t>high</t>
        </is>
      </c>
      <c r="J6" s="23" t="inlineStr">
        <is>
          <t>verified</t>
        </is>
      </c>
      <c r="K6" s="23" t="inlineStr">
        <is>
          <t>keep</t>
        </is>
      </c>
      <c r="L6" s="24" t="inlineStr">
        <is>
          <t>At the phylum level, Bacteroidetes (q = 0.0483), Synergistetes (q = 0.0599), and Spirochaetes (q = 0.168) were significantly more abundant in OC-SCC than in controls, while Actinobacteria (q = 0.0008) and Firmicutes (q = 0.05) were less abundant in OC-SCC than in controls</t>
        </is>
      </c>
      <c r="M6" s="20" t="inlineStr"/>
      <c r="N6" s="21" t="inlineStr"/>
      <c r="O6" s="21" t="inlineStr"/>
    </row>
    <row r="7" ht="20" customHeight="1">
      <c r="A7" s="16" t="inlineStr">
        <is>
          <t>Firmicutes</t>
        </is>
      </c>
      <c r="B7" s="16" t="inlineStr">
        <is>
          <t>bacteria</t>
        </is>
      </c>
      <c r="C7" s="16" t="inlineStr">
        <is>
          <t>phylum</t>
        </is>
      </c>
      <c r="D7" s="16" t="inlineStr">
        <is>
          <t>oral cavity squamous cell carcinoma</t>
        </is>
      </c>
      <c r="E7" s="27" t="inlineStr">
        <is>
          <t>decreased</t>
        </is>
      </c>
      <c r="F7" s="16" t="inlineStr">
        <is>
          <t>disease_vs_control</t>
        </is>
      </c>
      <c r="G7" s="16" t="inlineStr">
        <is>
          <t>oral</t>
        </is>
      </c>
      <c r="H7" s="16" t="inlineStr">
        <is>
          <t>0.05</t>
        </is>
      </c>
      <c r="I7" s="16" t="inlineStr">
        <is>
          <t>high</t>
        </is>
      </c>
      <c r="J7" s="18" t="inlineStr">
        <is>
          <t>verified</t>
        </is>
      </c>
      <c r="K7" s="18" t="inlineStr">
        <is>
          <t>keep</t>
        </is>
      </c>
      <c r="L7" s="19" t="inlineStr">
        <is>
          <t>At the phylum level, Bacteroidetes (q = 0.0483), Synergistetes (q = 0.0599), and Spirochaetes (q = 0.168) were significantly more abundant in OC-SCC than in controls, while Actinobacteria (q = 0.0008) and Firmicutes (q = 0.05) were less abundant in OC-SCC than in controls</t>
        </is>
      </c>
      <c r="M7" s="20" t="inlineStr"/>
      <c r="N7" s="21" t="inlineStr"/>
      <c r="O7" s="21" t="inlineStr"/>
    </row>
    <row r="8" ht="20" customHeight="1">
      <c r="A8" s="22" t="inlineStr">
        <is>
          <t>Fusobacterium</t>
        </is>
      </c>
      <c r="B8" s="22" t="inlineStr">
        <is>
          <t>bacteria</t>
        </is>
      </c>
      <c r="C8" s="22" t="inlineStr">
        <is>
          <t>genus</t>
        </is>
      </c>
      <c r="D8" s="22" t="inlineStr">
        <is>
          <t>oral cavity squamous cell carcinoma</t>
        </is>
      </c>
      <c r="E8" s="17" t="inlineStr">
        <is>
          <t>increased</t>
        </is>
      </c>
      <c r="F8" s="22" t="inlineStr">
        <is>
          <t>disease_vs_control</t>
        </is>
      </c>
      <c r="G8" s="22" t="inlineStr">
        <is>
          <t>oral</t>
        </is>
      </c>
      <c r="H8" s="22" t="inlineStr">
        <is>
          <t>0.1737</t>
        </is>
      </c>
      <c r="I8" s="22" t="inlineStr">
        <is>
          <t>low</t>
        </is>
      </c>
      <c r="J8" s="23" t="inlineStr">
        <is>
          <t>verified</t>
        </is>
      </c>
      <c r="K8" s="23" t="inlineStr">
        <is>
          <t>keep_flagged</t>
        </is>
      </c>
      <c r="L8" s="24" t="inlineStr">
        <is>
          <t>At the genus level, Fusobacterium (q = 0.1737) was more abundant in OC-SCC than in controls while Corynebacterium (q = 0.0501), Streptococcus (q = 0.0861), Actinomyces (q = 0.0836), Cryptobacterium (q = 0.1086), and Selenomonas (q = 0.1628) were less abundant in OC-SCC than in controls</t>
        </is>
      </c>
      <c r="M8" s="20" t="inlineStr"/>
      <c r="N8" s="21" t="inlineStr"/>
      <c r="O8" s="21" t="inlineStr"/>
    </row>
    <row r="9" ht="20" customHeight="1">
      <c r="A9" s="16" t="inlineStr">
        <is>
          <t>Corynebacterium</t>
        </is>
      </c>
      <c r="B9" s="16" t="inlineStr">
        <is>
          <t>bacteria</t>
        </is>
      </c>
      <c r="C9" s="16" t="inlineStr">
        <is>
          <t>genus</t>
        </is>
      </c>
      <c r="D9" s="16" t="inlineStr">
        <is>
          <t>oral cavity squamous cell carcinoma</t>
        </is>
      </c>
      <c r="E9" s="27" t="inlineStr">
        <is>
          <t>decreased</t>
        </is>
      </c>
      <c r="F9" s="16" t="inlineStr">
        <is>
          <t>disease_vs_control</t>
        </is>
      </c>
      <c r="G9" s="16" t="inlineStr">
        <is>
          <t>oral</t>
        </is>
      </c>
      <c r="H9" s="16" t="inlineStr">
        <is>
          <t>0.0501</t>
        </is>
      </c>
      <c r="I9" s="16" t="inlineStr">
        <is>
          <t>medium</t>
        </is>
      </c>
      <c r="J9" s="18" t="inlineStr">
        <is>
          <t>verified</t>
        </is>
      </c>
      <c r="K9" s="18" t="inlineStr">
        <is>
          <t>keep</t>
        </is>
      </c>
      <c r="L9" s="19" t="inlineStr">
        <is>
          <t>At the genus level, Fusobacterium (q = 0.1737) was more abundant in OC-SCC than in controls while Corynebacterium (q = 0.0501), Streptococcus (q = 0.0861), Actinomyces (q = 0.0836), Cryptobacterium (q = 0.1086), and Selenomonas (q = 0.1628) were less abundant in OC-SCC than in controls</t>
        </is>
      </c>
      <c r="M9" s="20" t="inlineStr"/>
      <c r="N9" s="21" t="inlineStr"/>
      <c r="O9" s="21" t="inlineStr"/>
    </row>
    <row r="10" ht="20" customHeight="1">
      <c r="A10" s="22" t="inlineStr">
        <is>
          <t>Streptococcus</t>
        </is>
      </c>
      <c r="B10" s="22" t="inlineStr">
        <is>
          <t>bacteria</t>
        </is>
      </c>
      <c r="C10" s="22" t="inlineStr">
        <is>
          <t>genus</t>
        </is>
      </c>
      <c r="D10" s="22" t="inlineStr">
        <is>
          <t>oral cavity squamous cell carcinoma</t>
        </is>
      </c>
      <c r="E10" s="27" t="inlineStr">
        <is>
          <t>decreased</t>
        </is>
      </c>
      <c r="F10" s="22" t="inlineStr">
        <is>
          <t>disease_vs_control</t>
        </is>
      </c>
      <c r="G10" s="22" t="inlineStr">
        <is>
          <t>oral</t>
        </is>
      </c>
      <c r="H10" s="22" t="inlineStr">
        <is>
          <t>0.0861</t>
        </is>
      </c>
      <c r="I10" s="22" t="inlineStr">
        <is>
          <t>medium</t>
        </is>
      </c>
      <c r="J10" s="23" t="inlineStr">
        <is>
          <t>verified</t>
        </is>
      </c>
      <c r="K10" s="23" t="inlineStr">
        <is>
          <t>keep</t>
        </is>
      </c>
      <c r="L10" s="24" t="inlineStr">
        <is>
          <t>At the genus level, Fusobacterium (q = 0.1737) was more abundant in OC-SCC than in controls while Corynebacterium (q = 0.0501), Streptococcus (q = 0.0861), Actinomyces (q = 0.0836), Cryptobacterium (q = 0.1086), and Selenomonas (q = 0.1628) were less abundant in OC-SCC than in controls</t>
        </is>
      </c>
      <c r="M10" s="20" t="inlineStr"/>
      <c r="N10" s="21" t="inlineStr"/>
      <c r="O10" s="21" t="inlineStr"/>
    </row>
    <row r="11" ht="20" customHeight="1">
      <c r="A11" s="16" t="inlineStr">
        <is>
          <t>Actinomyces</t>
        </is>
      </c>
      <c r="B11" s="16" t="inlineStr">
        <is>
          <t>bacteria</t>
        </is>
      </c>
      <c r="C11" s="16" t="inlineStr">
        <is>
          <t>genus</t>
        </is>
      </c>
      <c r="D11" s="16" t="inlineStr">
        <is>
          <t>oral cavity squamous cell carcinoma</t>
        </is>
      </c>
      <c r="E11" s="27" t="inlineStr">
        <is>
          <t>decreased</t>
        </is>
      </c>
      <c r="F11" s="16" t="inlineStr">
        <is>
          <t>disease_vs_control</t>
        </is>
      </c>
      <c r="G11" s="16" t="inlineStr">
        <is>
          <t>oral</t>
        </is>
      </c>
      <c r="H11" s="16" t="inlineStr">
        <is>
          <t>0.0836</t>
        </is>
      </c>
      <c r="I11" s="16" t="inlineStr">
        <is>
          <t>medium</t>
        </is>
      </c>
      <c r="J11" s="18" t="inlineStr">
        <is>
          <t>verified</t>
        </is>
      </c>
      <c r="K11" s="18" t="inlineStr">
        <is>
          <t>keep</t>
        </is>
      </c>
      <c r="L11" s="19" t="inlineStr">
        <is>
          <t>At the genus level, Fusobacterium (q = 0.1737) was more abundant in OC-SCC than in controls while Corynebacterium (q = 0.0501), Streptococcus (q = 0.0861), Actinomyces (q = 0.0836), Cryptobacterium (q = 0.1086), and Selenomonas (q = 0.1628) were less abundant in OC-SCC than in controls</t>
        </is>
      </c>
      <c r="M11" s="20" t="inlineStr"/>
      <c r="N11" s="21" t="inlineStr"/>
      <c r="O11" s="21" t="inlineStr"/>
    </row>
    <row r="12" ht="20" customHeight="1">
      <c r="A12" s="22" t="inlineStr">
        <is>
          <t>Cryptobacterium</t>
        </is>
      </c>
      <c r="B12" s="22" t="inlineStr">
        <is>
          <t>bacteria</t>
        </is>
      </c>
      <c r="C12" s="22" t="inlineStr">
        <is>
          <t>genus</t>
        </is>
      </c>
      <c r="D12" s="22" t="inlineStr">
        <is>
          <t>oral cavity squamous cell carcinoma</t>
        </is>
      </c>
      <c r="E12" s="27" t="inlineStr">
        <is>
          <t>decreased</t>
        </is>
      </c>
      <c r="F12" s="22" t="inlineStr">
        <is>
          <t>disease_vs_control</t>
        </is>
      </c>
      <c r="G12" s="22" t="inlineStr">
        <is>
          <t>oral</t>
        </is>
      </c>
      <c r="H12" s="22" t="inlineStr">
        <is>
          <t>0.1086</t>
        </is>
      </c>
      <c r="I12" s="22" t="inlineStr">
        <is>
          <t>low</t>
        </is>
      </c>
      <c r="J12" s="23" t="inlineStr">
        <is>
          <t>verified</t>
        </is>
      </c>
      <c r="K12" s="23" t="inlineStr">
        <is>
          <t>keep_flagged</t>
        </is>
      </c>
      <c r="L12" s="24" t="inlineStr">
        <is>
          <t>At the genus level, Fusobacterium (q = 0.1737) was more abundant in OC-SCC than in controls while Corynebacterium (q = 0.0501), Streptococcus (q = 0.0861), Actinomyces (q = 0.0836), Cryptobacterium (q = 0.1086), and Selenomonas (q = 0.1628) were less abundant in OC-SCC than in controls</t>
        </is>
      </c>
      <c r="M12" s="20" t="inlineStr"/>
      <c r="N12" s="21" t="inlineStr"/>
      <c r="O12" s="21" t="inlineStr"/>
    </row>
    <row r="13" ht="20" customHeight="1">
      <c r="A13" s="16" t="inlineStr">
        <is>
          <t>Selenomonas</t>
        </is>
      </c>
      <c r="B13" s="16" t="inlineStr">
        <is>
          <t>bacteria</t>
        </is>
      </c>
      <c r="C13" s="16" t="inlineStr">
        <is>
          <t>genus</t>
        </is>
      </c>
      <c r="D13" s="16" t="inlineStr">
        <is>
          <t>oral cavity squamous cell carcinoma</t>
        </is>
      </c>
      <c r="E13" s="27" t="inlineStr">
        <is>
          <t>decreased</t>
        </is>
      </c>
      <c r="F13" s="16" t="inlineStr">
        <is>
          <t>disease_vs_control</t>
        </is>
      </c>
      <c r="G13" s="16" t="inlineStr">
        <is>
          <t>oral</t>
        </is>
      </c>
      <c r="H13" s="16" t="inlineStr">
        <is>
          <t>0.1628</t>
        </is>
      </c>
      <c r="I13" s="16" t="inlineStr">
        <is>
          <t>low</t>
        </is>
      </c>
      <c r="J13" s="18" t="inlineStr">
        <is>
          <t>verified</t>
        </is>
      </c>
      <c r="K13" s="18" t="inlineStr">
        <is>
          <t>keep_flagged</t>
        </is>
      </c>
      <c r="L13" s="19" t="inlineStr">
        <is>
          <t>At the genus level, Fusobacterium (q = 0.1737) was more abundant in OC-SCC than in controls while Corynebacterium (q = 0.0501), Streptococcus (q = 0.0861), Actinomyces (q = 0.0836), Cryptobacterium (q = 0.1086), and Selenomonas (q = 0.1628) were less abundant in OC-SCC than in controls</t>
        </is>
      </c>
      <c r="M13" s="20" t="inlineStr"/>
      <c r="N13" s="21" t="inlineStr"/>
      <c r="O13" s="21" t="inlineStr"/>
    </row>
    <row r="14" ht="20" customHeight="1">
      <c r="A14" s="22" t="inlineStr">
        <is>
          <t>Porphyromonas sp oral taxon 278</t>
        </is>
      </c>
      <c r="B14" s="22" t="inlineStr">
        <is>
          <t>bacteria</t>
        </is>
      </c>
      <c r="C14" s="22" t="inlineStr">
        <is>
          <t>species</t>
        </is>
      </c>
      <c r="D14" s="22" t="inlineStr">
        <is>
          <t>oral cavity squamous cell carcinoma</t>
        </is>
      </c>
      <c r="E14" s="17" t="inlineStr">
        <is>
          <t>increased</t>
        </is>
      </c>
      <c r="F14" s="22" t="inlineStr">
        <is>
          <t>disease_vs_control</t>
        </is>
      </c>
      <c r="G14" s="22" t="inlineStr">
        <is>
          <t>oral</t>
        </is>
      </c>
      <c r="H14" s="22" t="inlineStr">
        <is>
          <t>0.1386</t>
        </is>
      </c>
      <c r="I14" s="22" t="inlineStr">
        <is>
          <t>low</t>
        </is>
      </c>
      <c r="J14" s="23" t="inlineStr">
        <is>
          <t>verified</t>
        </is>
      </c>
      <c r="K14" s="23" t="inlineStr">
        <is>
          <t>keep_flagged</t>
        </is>
      </c>
      <c r="L14" s="24" t="inlineStr">
        <is>
          <t>At the species level, the overrepresentation of Fusobacterium (q = 0.1737) could not be traced to any species in this genus although Porphyromonas sp oral taxon 278 (q = 0.1386) was found to be more abundant in OC-SCC than in controls.</t>
        </is>
      </c>
      <c r="M14" s="20" t="inlineStr"/>
      <c r="N14" s="21" t="inlineStr"/>
      <c r="O14" s="21" t="inlineStr"/>
    </row>
    <row r="15" ht="20" customHeight="1">
      <c r="A15" s="16" t="inlineStr">
        <is>
          <t>Corynebacterium matruchotii</t>
        </is>
      </c>
      <c r="B15" s="16" t="inlineStr">
        <is>
          <t>bacteria</t>
        </is>
      </c>
      <c r="C15" s="16" t="inlineStr">
        <is>
          <t>species</t>
        </is>
      </c>
      <c r="D15" s="16" t="inlineStr">
        <is>
          <t>oral cavity squamous cell carcinoma</t>
        </is>
      </c>
      <c r="E15" s="27" t="inlineStr">
        <is>
          <t>decreased</t>
        </is>
      </c>
      <c r="F15" s="16" t="inlineStr">
        <is>
          <t>disease_vs_control</t>
        </is>
      </c>
      <c r="G15" s="16" t="inlineStr">
        <is>
          <t>oral</t>
        </is>
      </c>
      <c r="H15" s="16" t="inlineStr">
        <is>
          <t>0.0138</t>
        </is>
      </c>
      <c r="I15" s="16" t="inlineStr">
        <is>
          <t>high</t>
        </is>
      </c>
      <c r="J15" s="18" t="inlineStr">
        <is>
          <t>verified</t>
        </is>
      </c>
      <c r="K15" s="18" t="inlineStr">
        <is>
          <t>keep</t>
        </is>
      </c>
      <c r="L15" s="19" t="inlineStr">
        <is>
          <t>For genera underrepresented in OC-SCC, species-level analysis found that Corynebacterium was represented by Corynebacterium matruchoat (q = 0.0138)</t>
        </is>
      </c>
      <c r="M15" s="20" t="inlineStr"/>
      <c r="N15" s="21" t="inlineStr"/>
      <c r="O15" s="21" t="inlineStr"/>
    </row>
    <row r="16" ht="20" customHeight="1">
      <c r="A16" s="22" t="inlineStr">
        <is>
          <t>Streptococcus salivarius</t>
        </is>
      </c>
      <c r="B16" s="22" t="inlineStr">
        <is>
          <t>bacteria</t>
        </is>
      </c>
      <c r="C16" s="22" t="inlineStr">
        <is>
          <t>species</t>
        </is>
      </c>
      <c r="D16" s="22" t="inlineStr">
        <is>
          <t>oral cavity squamous cell carcinoma</t>
        </is>
      </c>
      <c r="E16" s="27" t="inlineStr">
        <is>
          <t>decreased</t>
        </is>
      </c>
      <c r="F16" s="22" t="inlineStr">
        <is>
          <t>disease_vs_control</t>
        </is>
      </c>
      <c r="G16" s="22" t="inlineStr">
        <is>
          <t>oral</t>
        </is>
      </c>
      <c r="H16" s="22" t="inlineStr">
        <is>
          <t>0.0022</t>
        </is>
      </c>
      <c r="I16" s="22" t="inlineStr">
        <is>
          <t>high</t>
        </is>
      </c>
      <c r="J16" s="23" t="inlineStr">
        <is>
          <t>verified</t>
        </is>
      </c>
      <c r="K16" s="23" t="inlineStr">
        <is>
          <t>keep</t>
        </is>
      </c>
      <c r="L16" s="24" t="inlineStr">
        <is>
          <t>Streptococcus by three Streptococcus species (salivarius, q = 0.0022; gordonii, q = 0.074; cristatus, q = 0.095)</t>
        </is>
      </c>
      <c r="M16" s="20" t="inlineStr"/>
      <c r="N16" s="21" t="inlineStr"/>
      <c r="O16" s="21" t="inlineStr"/>
    </row>
    <row r="17" ht="20" customHeight="1">
      <c r="A17" s="16" t="inlineStr">
        <is>
          <t>Streptococcus gordonii</t>
        </is>
      </c>
      <c r="B17" s="16" t="inlineStr">
        <is>
          <t>bacteria</t>
        </is>
      </c>
      <c r="C17" s="16" t="inlineStr">
        <is>
          <t>species</t>
        </is>
      </c>
      <c r="D17" s="16" t="inlineStr">
        <is>
          <t>oral cavity squamous cell carcinoma</t>
        </is>
      </c>
      <c r="E17" s="27" t="inlineStr">
        <is>
          <t>decreased</t>
        </is>
      </c>
      <c r="F17" s="16" t="inlineStr">
        <is>
          <t>disease_vs_control</t>
        </is>
      </c>
      <c r="G17" s="16" t="inlineStr">
        <is>
          <t>oral</t>
        </is>
      </c>
      <c r="H17" s="16" t="inlineStr">
        <is>
          <t>0.074</t>
        </is>
      </c>
      <c r="I17" s="16" t="inlineStr">
        <is>
          <t>medium</t>
        </is>
      </c>
      <c r="J17" s="18" t="inlineStr">
        <is>
          <t>verified</t>
        </is>
      </c>
      <c r="K17" s="18" t="inlineStr">
        <is>
          <t>keep</t>
        </is>
      </c>
      <c r="L17" s="19" t="inlineStr">
        <is>
          <t>Streptococcus by three Streptococcus species (salivarius, q = 0.0022; gordonii, q = 0.074; cristatus, q = 0.095)</t>
        </is>
      </c>
      <c r="M17" s="20" t="inlineStr"/>
      <c r="N17" s="21" t="inlineStr"/>
      <c r="O17" s="21" t="inlineStr"/>
    </row>
    <row r="18" ht="20" customHeight="1">
      <c r="A18" s="22" t="inlineStr">
        <is>
          <t>Streptococcus cristatus</t>
        </is>
      </c>
      <c r="B18" s="22" t="inlineStr">
        <is>
          <t>bacteria</t>
        </is>
      </c>
      <c r="C18" s="22" t="inlineStr">
        <is>
          <t>species</t>
        </is>
      </c>
      <c r="D18" s="22" t="inlineStr">
        <is>
          <t>oral cavity squamous cell carcinoma</t>
        </is>
      </c>
      <c r="E18" s="27" t="inlineStr">
        <is>
          <t>decreased</t>
        </is>
      </c>
      <c r="F18" s="22" t="inlineStr">
        <is>
          <t>disease_vs_control</t>
        </is>
      </c>
      <c r="G18" s="22" t="inlineStr">
        <is>
          <t>oral</t>
        </is>
      </c>
      <c r="H18" s="22" t="inlineStr">
        <is>
          <t>0.095</t>
        </is>
      </c>
      <c r="I18" s="22" t="inlineStr">
        <is>
          <t>medium</t>
        </is>
      </c>
      <c r="J18" s="23" t="inlineStr">
        <is>
          <t>verified</t>
        </is>
      </c>
      <c r="K18" s="23" t="inlineStr">
        <is>
          <t>keep</t>
        </is>
      </c>
      <c r="L18" s="24" t="inlineStr">
        <is>
          <t>Streptococcus by three Streptococcus species (salivarius, q = 0.0022; gordonii, q = 0.074; cristatus, q = 0.095)</t>
        </is>
      </c>
      <c r="M18" s="20" t="inlineStr"/>
      <c r="N18" s="21" t="inlineStr"/>
      <c r="O18" s="21" t="inlineStr"/>
    </row>
    <row r="19" ht="20" customHeight="1">
      <c r="A19" s="16" t="inlineStr">
        <is>
          <t>Actinomyces oris</t>
        </is>
      </c>
      <c r="B19" s="16" t="inlineStr">
        <is>
          <t>bacteria</t>
        </is>
      </c>
      <c r="C19" s="16" t="inlineStr">
        <is>
          <t>species</t>
        </is>
      </c>
      <c r="D19" s="16" t="inlineStr">
        <is>
          <t>oral cavity squamous cell carcinoma</t>
        </is>
      </c>
      <c r="E19" s="27" t="inlineStr">
        <is>
          <t>decreased</t>
        </is>
      </c>
      <c r="F19" s="16" t="inlineStr">
        <is>
          <t>disease_vs_control</t>
        </is>
      </c>
      <c r="G19" s="16" t="inlineStr">
        <is>
          <t>oral</t>
        </is>
      </c>
      <c r="H19" s="16" t="inlineStr">
        <is>
          <t>0.0056</t>
        </is>
      </c>
      <c r="I19" s="16" t="inlineStr">
        <is>
          <t>high</t>
        </is>
      </c>
      <c r="J19" s="18" t="inlineStr">
        <is>
          <t>verified</t>
        </is>
      </c>
      <c r="K19" s="18" t="inlineStr">
        <is>
          <t>keep</t>
        </is>
      </c>
      <c r="L19" s="19" t="inlineStr">
        <is>
          <t>Actinomyces by six Actinomyces species (oris, q = 0.0056; georgiae, q = 0.0364; naeslundi, q = 0.039; massiliensis, q = 0.1183; oral_taxon_448, q = 0.1386; ICM47, q = 0.1386)</t>
        </is>
      </c>
      <c r="M19" s="20" t="inlineStr"/>
      <c r="N19" s="21" t="inlineStr"/>
      <c r="O19" s="21" t="inlineStr"/>
    </row>
    <row r="20" ht="20" customHeight="1">
      <c r="A20" s="22" t="inlineStr">
        <is>
          <t>Actinomyces georgiae</t>
        </is>
      </c>
      <c r="B20" s="22" t="inlineStr">
        <is>
          <t>bacteria</t>
        </is>
      </c>
      <c r="C20" s="22" t="inlineStr">
        <is>
          <t>species</t>
        </is>
      </c>
      <c r="D20" s="22" t="inlineStr">
        <is>
          <t>oral cavity squamous cell carcinoma</t>
        </is>
      </c>
      <c r="E20" s="27" t="inlineStr">
        <is>
          <t>decreased</t>
        </is>
      </c>
      <c r="F20" s="22" t="inlineStr">
        <is>
          <t>disease_vs_control</t>
        </is>
      </c>
      <c r="G20" s="22" t="inlineStr">
        <is>
          <t>oral</t>
        </is>
      </c>
      <c r="H20" s="22" t="inlineStr">
        <is>
          <t>0.0364</t>
        </is>
      </c>
      <c r="I20" s="22" t="inlineStr">
        <is>
          <t>high</t>
        </is>
      </c>
      <c r="J20" s="23" t="inlineStr">
        <is>
          <t>verified</t>
        </is>
      </c>
      <c r="K20" s="23" t="inlineStr">
        <is>
          <t>keep</t>
        </is>
      </c>
      <c r="L20" s="24" t="inlineStr">
        <is>
          <t>Actinomyces by six Actinomyces species (oris, q = 0.0056; georgiae, q = 0.0364; naeslundi, q = 0.039; massiliensis, q = 0.1183; oral_taxon_448, q = 0.1386; ICM47, q = 0.1386)</t>
        </is>
      </c>
      <c r="M20" s="20" t="inlineStr"/>
      <c r="N20" s="21" t="inlineStr"/>
      <c r="O20" s="21" t="inlineStr"/>
    </row>
    <row r="21" ht="20" customHeight="1">
      <c r="A21" s="16" t="inlineStr">
        <is>
          <t>Actinomyces naeslundii</t>
        </is>
      </c>
      <c r="B21" s="16" t="inlineStr">
        <is>
          <t>bacteria</t>
        </is>
      </c>
      <c r="C21" s="16" t="inlineStr">
        <is>
          <t>species</t>
        </is>
      </c>
      <c r="D21" s="16" t="inlineStr">
        <is>
          <t>oral cavity squamous cell carcinoma</t>
        </is>
      </c>
      <c r="E21" s="27" t="inlineStr">
        <is>
          <t>decreased</t>
        </is>
      </c>
      <c r="F21" s="16" t="inlineStr">
        <is>
          <t>disease_vs_control</t>
        </is>
      </c>
      <c r="G21" s="16" t="inlineStr">
        <is>
          <t>oral</t>
        </is>
      </c>
      <c r="H21" s="16" t="inlineStr">
        <is>
          <t>0.039</t>
        </is>
      </c>
      <c r="I21" s="16" t="inlineStr">
        <is>
          <t>high</t>
        </is>
      </c>
      <c r="J21" s="18" t="inlineStr">
        <is>
          <t>verified</t>
        </is>
      </c>
      <c r="K21" s="18" t="inlineStr">
        <is>
          <t>keep</t>
        </is>
      </c>
      <c r="L21" s="19" t="inlineStr">
        <is>
          <t>Actinomyces by six Actinomyces species (oris, q = 0.0056; georgiae, q = 0.0364; naeslundi, q = 0.039; massiliensis, q = 0.1183; oral_taxon_448, q = 0.1386; ICM47, q = 0.1386)</t>
        </is>
      </c>
      <c r="M21" s="20" t="inlineStr"/>
      <c r="N21" s="21" t="inlineStr"/>
      <c r="O21" s="21" t="inlineStr"/>
    </row>
    <row r="22" ht="20" customHeight="1">
      <c r="A22" s="22" t="inlineStr">
        <is>
          <t>Actinomyces massiliensis</t>
        </is>
      </c>
      <c r="B22" s="22" t="inlineStr">
        <is>
          <t>bacteria</t>
        </is>
      </c>
      <c r="C22" s="22" t="inlineStr">
        <is>
          <t>species</t>
        </is>
      </c>
      <c r="D22" s="22" t="inlineStr">
        <is>
          <t>oral cavity squamous cell carcinoma</t>
        </is>
      </c>
      <c r="E22" s="27" t="inlineStr">
        <is>
          <t>decreased</t>
        </is>
      </c>
      <c r="F22" s="22" t="inlineStr">
        <is>
          <t>disease_vs_control</t>
        </is>
      </c>
      <c r="G22" s="22" t="inlineStr">
        <is>
          <t>oral</t>
        </is>
      </c>
      <c r="H22" s="22" t="inlineStr">
        <is>
          <t>0.1183</t>
        </is>
      </c>
      <c r="I22" s="22" t="inlineStr">
        <is>
          <t>low</t>
        </is>
      </c>
      <c r="J22" s="23" t="inlineStr">
        <is>
          <t>verified</t>
        </is>
      </c>
      <c r="K22" s="23" t="inlineStr">
        <is>
          <t>keep_flagged</t>
        </is>
      </c>
      <c r="L22" s="24" t="inlineStr">
        <is>
          <t>Actinomyces by six Actinomyces species (oris, q = 0.0056; georgiae, q = 0.0364; naeslundi, q = 0.039; massiliensis, q = 0.1183; oral_taxon_448, q = 0.1386; ICM47, q = 0.1386)</t>
        </is>
      </c>
      <c r="M22" s="20" t="inlineStr"/>
      <c r="N22" s="21" t="inlineStr"/>
      <c r="O22" s="21" t="inlineStr"/>
    </row>
    <row r="23" ht="20" customHeight="1">
      <c r="A23" s="16" t="inlineStr">
        <is>
          <t>Actinomyces oral taxon 448</t>
        </is>
      </c>
      <c r="B23" s="16" t="inlineStr">
        <is>
          <t>bacteria</t>
        </is>
      </c>
      <c r="C23" s="16" t="inlineStr">
        <is>
          <t>species</t>
        </is>
      </c>
      <c r="D23" s="16" t="inlineStr">
        <is>
          <t>oral cavity squamous cell carcinoma</t>
        </is>
      </c>
      <c r="E23" s="27" t="inlineStr">
        <is>
          <t>decreased</t>
        </is>
      </c>
      <c r="F23" s="16" t="inlineStr">
        <is>
          <t>disease_vs_control</t>
        </is>
      </c>
      <c r="G23" s="16" t="inlineStr">
        <is>
          <t>oral</t>
        </is>
      </c>
      <c r="H23" s="16" t="inlineStr">
        <is>
          <t>0.1386</t>
        </is>
      </c>
      <c r="I23" s="16" t="inlineStr">
        <is>
          <t>low</t>
        </is>
      </c>
      <c r="J23" s="18" t="inlineStr">
        <is>
          <t>verified</t>
        </is>
      </c>
      <c r="K23" s="18" t="inlineStr">
        <is>
          <t>keep_flagged</t>
        </is>
      </c>
      <c r="L23" s="19" t="inlineStr">
        <is>
          <t>Actinomyces by six Actinomyces species (oris, q = 0.0056; georgiae, q = 0.0364; naeslundi, q = 0.039; massiliensis, q = 0.1183; oral_taxon_448, q = 0.1386; ICM47, q = 0.1386)</t>
        </is>
      </c>
      <c r="M23" s="20" t="inlineStr"/>
      <c r="N23" s="21" t="inlineStr"/>
      <c r="O23" s="21" t="inlineStr"/>
    </row>
    <row r="24" ht="20" customHeight="1">
      <c r="A24" s="22" t="inlineStr">
        <is>
          <t>Actinomyces ICM47</t>
        </is>
      </c>
      <c r="B24" s="22" t="inlineStr">
        <is>
          <t>bacteria</t>
        </is>
      </c>
      <c r="C24" s="22" t="inlineStr">
        <is>
          <t>species</t>
        </is>
      </c>
      <c r="D24" s="22" t="inlineStr">
        <is>
          <t>oral cavity squamous cell carcinoma</t>
        </is>
      </c>
      <c r="E24" s="27" t="inlineStr">
        <is>
          <t>decreased</t>
        </is>
      </c>
      <c r="F24" s="22" t="inlineStr">
        <is>
          <t>disease_vs_control</t>
        </is>
      </c>
      <c r="G24" s="22" t="inlineStr">
        <is>
          <t>oral</t>
        </is>
      </c>
      <c r="H24" s="22" t="inlineStr">
        <is>
          <t>0.1386</t>
        </is>
      </c>
      <c r="I24" s="22" t="inlineStr">
        <is>
          <t>low</t>
        </is>
      </c>
      <c r="J24" s="23" t="inlineStr">
        <is>
          <t>verified</t>
        </is>
      </c>
      <c r="K24" s="23" t="inlineStr">
        <is>
          <t>keep_flagged</t>
        </is>
      </c>
      <c r="L24" s="24" t="inlineStr">
        <is>
          <t>Actinomyces by six Actinomyces species (oris, q = 0.0056; georgiae, q = 0.0364; naeslundi, q = 0.039; massiliensis, q = 0.1183; oral_taxon_448, q = 0.1386; ICM47, q = 0.1386)</t>
        </is>
      </c>
      <c r="M24" s="20" t="inlineStr"/>
      <c r="N24" s="21" t="inlineStr"/>
      <c r="O24" s="21" t="inlineStr"/>
    </row>
    <row r="25" ht="20" customHeight="1">
      <c r="A25" s="16" t="inlineStr">
        <is>
          <t>Cryptobacterium curtum</t>
        </is>
      </c>
      <c r="B25" s="16" t="inlineStr">
        <is>
          <t>bacteria</t>
        </is>
      </c>
      <c r="C25" s="16" t="inlineStr">
        <is>
          <t>species</t>
        </is>
      </c>
      <c r="D25" s="16" t="inlineStr">
        <is>
          <t>oral cavity squamous cell carcinoma</t>
        </is>
      </c>
      <c r="E25" s="27" t="inlineStr">
        <is>
          <t>decreased</t>
        </is>
      </c>
      <c r="F25" s="16" t="inlineStr">
        <is>
          <t>disease_vs_control</t>
        </is>
      </c>
      <c r="G25" s="16" t="inlineStr">
        <is>
          <t>oral</t>
        </is>
      </c>
      <c r="H25" s="16" t="inlineStr">
        <is>
          <t>0.1183</t>
        </is>
      </c>
      <c r="I25" s="16" t="inlineStr">
        <is>
          <t>low</t>
        </is>
      </c>
      <c r="J25" s="18" t="inlineStr">
        <is>
          <t>verified</t>
        </is>
      </c>
      <c r="K25" s="18" t="inlineStr">
        <is>
          <t>keep_flagged</t>
        </is>
      </c>
      <c r="L25" s="19" t="inlineStr">
        <is>
          <t>Cryptobacterium by Cryptobacterium curtum (q = 0.1183)</t>
        </is>
      </c>
      <c r="M25" s="20" t="inlineStr"/>
      <c r="N25" s="21" t="inlineStr"/>
      <c r="O25" s="21" t="inlineStr"/>
    </row>
    <row r="26" ht="20" customHeight="1">
      <c r="A26" s="22" t="inlineStr">
        <is>
          <t>Selenomonas noxia</t>
        </is>
      </c>
      <c r="B26" s="22" t="inlineStr">
        <is>
          <t>bacteria</t>
        </is>
      </c>
      <c r="C26" s="22" t="inlineStr">
        <is>
          <t>species</t>
        </is>
      </c>
      <c r="D26" s="22" t="inlineStr">
        <is>
          <t>oral cavity squamous cell carcinoma</t>
        </is>
      </c>
      <c r="E26" s="27" t="inlineStr">
        <is>
          <t>decreased</t>
        </is>
      </c>
      <c r="F26" s="22" t="inlineStr">
        <is>
          <t>disease_vs_control</t>
        </is>
      </c>
      <c r="G26" s="22" t="inlineStr">
        <is>
          <t>oral</t>
        </is>
      </c>
      <c r="H26" s="22" t="inlineStr">
        <is>
          <t>0.0364</t>
        </is>
      </c>
      <c r="I26" s="22" t="inlineStr">
        <is>
          <t>high</t>
        </is>
      </c>
      <c r="J26" s="23" t="inlineStr">
        <is>
          <t>verified</t>
        </is>
      </c>
      <c r="K26" s="23" t="inlineStr">
        <is>
          <t>keep</t>
        </is>
      </c>
      <c r="L26" s="24" t="inlineStr">
        <is>
          <t>Selenomonas by Selenomonas noxia (q = 0.0364)</t>
        </is>
      </c>
      <c r="M26" s="20" t="inlineStr"/>
      <c r="N26" s="21" t="inlineStr"/>
      <c r="O26" s="21" t="inlineStr"/>
    </row>
    <row r="27" ht="20" customHeight="1">
      <c r="A27" s="16" t="inlineStr">
        <is>
          <t>Prevotella denticola</t>
        </is>
      </c>
      <c r="B27" s="16" t="inlineStr">
        <is>
          <t>bacteria</t>
        </is>
      </c>
      <c r="C27" s="16" t="inlineStr">
        <is>
          <t>species</t>
        </is>
      </c>
      <c r="D27" s="16" t="inlineStr">
        <is>
          <t>oral cavity squamous cell carcinoma</t>
        </is>
      </c>
      <c r="E27" s="27" t="inlineStr">
        <is>
          <t>decreased</t>
        </is>
      </c>
      <c r="F27" s="16" t="inlineStr">
        <is>
          <t>disease_vs_control</t>
        </is>
      </c>
      <c r="G27" s="16" t="inlineStr">
        <is>
          <t>oral</t>
        </is>
      </c>
      <c r="H27" s="16" t="inlineStr">
        <is>
          <t>0.095</t>
        </is>
      </c>
      <c r="I27" s="16" t="inlineStr">
        <is>
          <t>medium</t>
        </is>
      </c>
      <c r="J27" s="18" t="inlineStr">
        <is>
          <t>verified</t>
        </is>
      </c>
      <c r="K27" s="18" t="inlineStr">
        <is>
          <t>keep</t>
        </is>
      </c>
      <c r="L27" s="19" t="inlineStr">
        <is>
          <t>Additionally, six species were also found to be less abundant in OC-SCC than in controls, including three Prevotella species (denticola. q = 0.095; oulorum, q = 0.1183; histicola, q = 0.1183), Campylobacter gracilis (q = 0.0364), Leptotrichia wadei (q = 0.0364), and Veillonella parvula (q = 0.1193)</t>
        </is>
      </c>
      <c r="M27" s="20" t="inlineStr"/>
      <c r="N27" s="21" t="inlineStr"/>
      <c r="O27" s="21" t="inlineStr"/>
    </row>
    <row r="28" ht="20" customHeight="1">
      <c r="A28" s="22" t="inlineStr">
        <is>
          <t>Prevotella oulorum</t>
        </is>
      </c>
      <c r="B28" s="22" t="inlineStr">
        <is>
          <t>bacteria</t>
        </is>
      </c>
      <c r="C28" s="22" t="inlineStr">
        <is>
          <t>species</t>
        </is>
      </c>
      <c r="D28" s="22" t="inlineStr">
        <is>
          <t>oral cavity squamous cell carcinoma</t>
        </is>
      </c>
      <c r="E28" s="27" t="inlineStr">
        <is>
          <t>decreased</t>
        </is>
      </c>
      <c r="F28" s="22" t="inlineStr">
        <is>
          <t>disease_vs_control</t>
        </is>
      </c>
      <c r="G28" s="22" t="inlineStr">
        <is>
          <t>oral</t>
        </is>
      </c>
      <c r="H28" s="22" t="inlineStr">
        <is>
          <t>0.1183</t>
        </is>
      </c>
      <c r="I28" s="22" t="inlineStr">
        <is>
          <t>low</t>
        </is>
      </c>
      <c r="J28" s="23" t="inlineStr">
        <is>
          <t>verified</t>
        </is>
      </c>
      <c r="K28" s="23" t="inlineStr">
        <is>
          <t>keep_flagged</t>
        </is>
      </c>
      <c r="L28" s="24" t="inlineStr">
        <is>
          <t>Additionally, six species were also found to be less abundant in OC-SCC than in controls, including three Prevotella species (denticola. q = 0.095; oulorum, q = 0.1183; histicola, q = 0.1183), Campylobacter gracilis (q = 0.0364), Leptotrichia wadei (q = 0.0364), and Veillonella parvula (q = 0.1193)</t>
        </is>
      </c>
      <c r="M28" s="20" t="inlineStr"/>
      <c r="N28" s="21" t="inlineStr"/>
      <c r="O28" s="21" t="inlineStr"/>
    </row>
    <row r="29" ht="20" customHeight="1">
      <c r="A29" s="16" t="inlineStr">
        <is>
          <t>Prevotella histicola</t>
        </is>
      </c>
      <c r="B29" s="16" t="inlineStr">
        <is>
          <t>bacteria</t>
        </is>
      </c>
      <c r="C29" s="16" t="inlineStr">
        <is>
          <t>species</t>
        </is>
      </c>
      <c r="D29" s="16" t="inlineStr">
        <is>
          <t>oral cavity squamous cell carcinoma</t>
        </is>
      </c>
      <c r="E29" s="27" t="inlineStr">
        <is>
          <t>decreased</t>
        </is>
      </c>
      <c r="F29" s="16" t="inlineStr">
        <is>
          <t>disease_vs_control</t>
        </is>
      </c>
      <c r="G29" s="16" t="inlineStr">
        <is>
          <t>oral</t>
        </is>
      </c>
      <c r="H29" s="16" t="inlineStr">
        <is>
          <t>0.1183</t>
        </is>
      </c>
      <c r="I29" s="16" t="inlineStr">
        <is>
          <t>low</t>
        </is>
      </c>
      <c r="J29" s="18" t="inlineStr">
        <is>
          <t>verified</t>
        </is>
      </c>
      <c r="K29" s="18" t="inlineStr">
        <is>
          <t>keep_flagged</t>
        </is>
      </c>
      <c r="L29" s="19" t="inlineStr">
        <is>
          <t>Additionally, six species were also found to be less abundant in OC-SCC than in controls, including three Prevotella species (denticola. q = 0.095; oulorum, q = 0.1183; histicola, q = 0.1183), Campylobacter gracilis (q = 0.0364), Leptotrichia wadei (q = 0.0364), and Veillonella parvula (q = 0.1193)</t>
        </is>
      </c>
      <c r="M29" s="20" t="inlineStr"/>
      <c r="N29" s="21" t="inlineStr"/>
      <c r="O29" s="21" t="inlineStr"/>
    </row>
    <row r="30" ht="20" customHeight="1">
      <c r="A30" s="22" t="inlineStr">
        <is>
          <t>Campylobacter gracilis</t>
        </is>
      </c>
      <c r="B30" s="22" t="inlineStr">
        <is>
          <t>bacteria</t>
        </is>
      </c>
      <c r="C30" s="22" t="inlineStr">
        <is>
          <t>species</t>
        </is>
      </c>
      <c r="D30" s="22" t="inlineStr">
        <is>
          <t>oral cavity squamous cell carcinoma</t>
        </is>
      </c>
      <c r="E30" s="27" t="inlineStr">
        <is>
          <t>decreased</t>
        </is>
      </c>
      <c r="F30" s="22" t="inlineStr">
        <is>
          <t>disease_vs_control</t>
        </is>
      </c>
      <c r="G30" s="22" t="inlineStr">
        <is>
          <t>oral</t>
        </is>
      </c>
      <c r="H30" s="22" t="inlineStr">
        <is>
          <t>0.0364</t>
        </is>
      </c>
      <c r="I30" s="22" t="inlineStr">
        <is>
          <t>high</t>
        </is>
      </c>
      <c r="J30" s="23" t="inlineStr">
        <is>
          <t>verified</t>
        </is>
      </c>
      <c r="K30" s="23" t="inlineStr">
        <is>
          <t>keep</t>
        </is>
      </c>
      <c r="L30" s="24" t="inlineStr">
        <is>
          <t>Additionally, six species were also found to be less abundant in OC-SCC than in controls, including three Prevotella species (denticola. q = 0.095; oulorum, q = 0.1183; histicola, q = 0.1183), Campylobacter gracilis (q = 0.0364), Leptotrichia wadei (q = 0.0364), and Veillonella parvula (q = 0.1193)</t>
        </is>
      </c>
      <c r="M30" s="20" t="inlineStr"/>
      <c r="N30" s="21" t="inlineStr"/>
      <c r="O30" s="21" t="inlineStr"/>
    </row>
    <row r="31" ht="20" customHeight="1">
      <c r="A31" s="16" t="inlineStr">
        <is>
          <t>Leptotrichia wadei</t>
        </is>
      </c>
      <c r="B31" s="16" t="inlineStr">
        <is>
          <t>bacteria</t>
        </is>
      </c>
      <c r="C31" s="16" t="inlineStr">
        <is>
          <t>species</t>
        </is>
      </c>
      <c r="D31" s="16" t="inlineStr">
        <is>
          <t>oral cavity squamous cell carcinoma</t>
        </is>
      </c>
      <c r="E31" s="27" t="inlineStr">
        <is>
          <t>decreased</t>
        </is>
      </c>
      <c r="F31" s="16" t="inlineStr">
        <is>
          <t>disease_vs_control</t>
        </is>
      </c>
      <c r="G31" s="16" t="inlineStr">
        <is>
          <t>oral</t>
        </is>
      </c>
      <c r="H31" s="16" t="inlineStr">
        <is>
          <t>0.0364</t>
        </is>
      </c>
      <c r="I31" s="16" t="inlineStr">
        <is>
          <t>high</t>
        </is>
      </c>
      <c r="J31" s="18" t="inlineStr">
        <is>
          <t>verified</t>
        </is>
      </c>
      <c r="K31" s="18" t="inlineStr">
        <is>
          <t>keep</t>
        </is>
      </c>
      <c r="L31" s="19" t="inlineStr">
        <is>
          <t>Additionally, six species were also found to be less abundant in OC-SCC than in controls, including three Prevotella species (denticola. q = 0.095; oulorum, q = 0.1183; histicola, q = 0.1183), Campylobacter gracilis (q = 0.0364), Leptotrichia wadei (q = 0.0364), and Veillonella parvula (q = 0.1193)</t>
        </is>
      </c>
      <c r="M31" s="20" t="inlineStr"/>
      <c r="N31" s="21" t="inlineStr"/>
      <c r="O31" s="21" t="inlineStr"/>
    </row>
    <row r="32" ht="20" customHeight="1">
      <c r="A32" s="22" t="inlineStr">
        <is>
          <t>Veillonella parvula</t>
        </is>
      </c>
      <c r="B32" s="22" t="inlineStr">
        <is>
          <t>bacteria</t>
        </is>
      </c>
      <c r="C32" s="22" t="inlineStr">
        <is>
          <t>species</t>
        </is>
      </c>
      <c r="D32" s="22" t="inlineStr">
        <is>
          <t>oral cavity squamous cell carcinoma</t>
        </is>
      </c>
      <c r="E32" s="27" t="inlineStr">
        <is>
          <t>decreased</t>
        </is>
      </c>
      <c r="F32" s="22" t="inlineStr">
        <is>
          <t>disease_vs_control</t>
        </is>
      </c>
      <c r="G32" s="22" t="inlineStr">
        <is>
          <t>oral</t>
        </is>
      </c>
      <c r="H32" s="22" t="inlineStr">
        <is>
          <t>0.1193</t>
        </is>
      </c>
      <c r="I32" s="22" t="inlineStr">
        <is>
          <t>low</t>
        </is>
      </c>
      <c r="J32" s="23" t="inlineStr">
        <is>
          <t>verified</t>
        </is>
      </c>
      <c r="K32" s="23" t="inlineStr">
        <is>
          <t>keep_flagged</t>
        </is>
      </c>
      <c r="L32" s="24" t="inlineStr">
        <is>
          <t>Additionally, six species were also found to be less abundant in OC-SCC than in controls, including three Prevotella species (denticola. q = 0.095; oulorum, q = 0.1183; histicola, q = 0.1183), Campylobacter gracilis (q = 0.0364), Leptotrichia wadei (q = 0.0364), and Veillonella parvula (q = 0.1193)</t>
        </is>
      </c>
      <c r="M32" s="20" t="inlineStr"/>
      <c r="N32" s="21" t="inlineStr"/>
      <c r="O32"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32" showDropDown="0" showInputMessage="0" showErrorMessage="0" allowBlank="1" type="list">
      <formula1>"approved,rejected,modified"</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48"/>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961 — Microbiota in Gut, Oral Cavity, and Mitral Valves Are Associated With Rheumatic Heart Disease</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Faecalibacterium</t>
        </is>
      </c>
      <c r="B3" s="16" t="inlineStr">
        <is>
          <t>bacteria</t>
        </is>
      </c>
      <c r="C3" s="16" t="inlineStr">
        <is>
          <t>genus</t>
        </is>
      </c>
      <c r="D3" s="16" t="inlineStr">
        <is>
          <t>rheumatic heart disease</t>
        </is>
      </c>
      <c r="E3" s="27" t="inlineStr">
        <is>
          <t>decreased</t>
        </is>
      </c>
      <c r="F3" s="16" t="inlineStr">
        <is>
          <t>disease_vs_control</t>
        </is>
      </c>
      <c r="G3" s="16" t="inlineStr">
        <is>
          <t>fecal</t>
        </is>
      </c>
      <c r="H3" s="16" t="inlineStr">
        <is>
          <t>&lt; 0.05</t>
        </is>
      </c>
      <c r="I3" s="16" t="inlineStr">
        <is>
          <t>high</t>
        </is>
      </c>
      <c r="J3" s="18" t="inlineStr">
        <is>
          <t>verified</t>
        </is>
      </c>
      <c r="K3" s="18" t="inlineStr">
        <is>
          <t>keep</t>
        </is>
      </c>
      <c r="L3" s="19" t="inlineStr">
        <is>
          <t>Among the 15 most abundant genera, relative abundance of Faecalibacterium and Bacteroides significantly decreased...in gut microbiota of RHD patients compared to control subjects</t>
        </is>
      </c>
      <c r="M3" s="20" t="inlineStr"/>
      <c r="N3" s="21" t="inlineStr"/>
      <c r="O3" s="21" t="inlineStr"/>
    </row>
    <row r="4" ht="20" customHeight="1">
      <c r="A4" s="22" t="inlineStr">
        <is>
          <t>Bacteroides</t>
        </is>
      </c>
      <c r="B4" s="22" t="inlineStr">
        <is>
          <t>bacteria</t>
        </is>
      </c>
      <c r="C4" s="22" t="inlineStr">
        <is>
          <t>genus</t>
        </is>
      </c>
      <c r="D4" s="22" t="inlineStr">
        <is>
          <t>rheumatic heart disease</t>
        </is>
      </c>
      <c r="E4" s="27" t="inlineStr">
        <is>
          <t>decreased</t>
        </is>
      </c>
      <c r="F4" s="22" t="inlineStr">
        <is>
          <t>disease_vs_control</t>
        </is>
      </c>
      <c r="G4" s="22" t="inlineStr">
        <is>
          <t>fecal</t>
        </is>
      </c>
      <c r="H4" s="22" t="inlineStr">
        <is>
          <t>&lt; 0.05</t>
        </is>
      </c>
      <c r="I4" s="22" t="inlineStr">
        <is>
          <t>high</t>
        </is>
      </c>
      <c r="J4" s="23" t="inlineStr">
        <is>
          <t>verified</t>
        </is>
      </c>
      <c r="K4" s="23" t="inlineStr">
        <is>
          <t>keep</t>
        </is>
      </c>
      <c r="L4" s="24" t="inlineStr">
        <is>
          <t>Among the 15 most abundant genera, relative abundance of Faecalibacterium and Bacteroides significantly decreased...in gut microbiota of RHD patients compared to control subjects</t>
        </is>
      </c>
      <c r="M4" s="20" t="inlineStr"/>
      <c r="N4" s="21" t="inlineStr"/>
      <c r="O4" s="21" t="inlineStr"/>
    </row>
    <row r="5" ht="20" customHeight="1">
      <c r="A5" s="16" t="inlineStr">
        <is>
          <t>Bifidobacterium</t>
        </is>
      </c>
      <c r="B5" s="16" t="inlineStr">
        <is>
          <t>bacteria</t>
        </is>
      </c>
      <c r="C5" s="16" t="inlineStr">
        <is>
          <t>genus</t>
        </is>
      </c>
      <c r="D5" s="16" t="inlineStr">
        <is>
          <t>rheumatic heart disease</t>
        </is>
      </c>
      <c r="E5" s="17" t="inlineStr">
        <is>
          <t>increased</t>
        </is>
      </c>
      <c r="F5" s="16" t="inlineStr">
        <is>
          <t>disease_vs_control</t>
        </is>
      </c>
      <c r="G5" s="16" t="inlineStr">
        <is>
          <t>fecal</t>
        </is>
      </c>
      <c r="H5" s="16" t="inlineStr">
        <is>
          <t>&lt; 0.05</t>
        </is>
      </c>
      <c r="I5" s="16" t="inlineStr">
        <is>
          <t>high</t>
        </is>
      </c>
      <c r="J5" s="18" t="inlineStr">
        <is>
          <t>verified</t>
        </is>
      </c>
      <c r="K5" s="18" t="inlineStr">
        <is>
          <t>keep</t>
        </is>
      </c>
      <c r="L5" s="19" t="inlineStr">
        <is>
          <t>In the gut, the patients possessed higher levels of genera including Bifidobacterium and Eubacterium, and lower levels of genera including Lachnospira, Bacteroides, and Faecalibacterium</t>
        </is>
      </c>
      <c r="M5" s="20" t="inlineStr"/>
      <c r="N5" s="21" t="inlineStr"/>
      <c r="O5" s="21" t="inlineStr"/>
    </row>
    <row r="6" ht="20" customHeight="1">
      <c r="A6" s="22" t="inlineStr">
        <is>
          <t>Eubacterium</t>
        </is>
      </c>
      <c r="B6" s="22" t="inlineStr">
        <is>
          <t>bacteria</t>
        </is>
      </c>
      <c r="C6" s="22" t="inlineStr">
        <is>
          <t>genus</t>
        </is>
      </c>
      <c r="D6" s="22" t="inlineStr">
        <is>
          <t>rheumatic heart disease</t>
        </is>
      </c>
      <c r="E6" s="17" t="inlineStr">
        <is>
          <t>increased</t>
        </is>
      </c>
      <c r="F6" s="22" t="inlineStr">
        <is>
          <t>disease_vs_control</t>
        </is>
      </c>
      <c r="G6" s="22" t="inlineStr">
        <is>
          <t>fecal</t>
        </is>
      </c>
      <c r="H6" s="22" t="inlineStr">
        <is>
          <t>&lt; 0.05</t>
        </is>
      </c>
      <c r="I6" s="22" t="inlineStr">
        <is>
          <t>high</t>
        </is>
      </c>
      <c r="J6" s="23" t="inlineStr">
        <is>
          <t>verified</t>
        </is>
      </c>
      <c r="K6" s="23" t="inlineStr">
        <is>
          <t>keep</t>
        </is>
      </c>
      <c r="L6" s="24" t="inlineStr">
        <is>
          <t>In the gut, the patients possessed higher levels of genera including Bifidobacterium and Eubacterium</t>
        </is>
      </c>
      <c r="M6" s="20" t="inlineStr"/>
      <c r="N6" s="21" t="inlineStr"/>
      <c r="O6" s="21" t="inlineStr"/>
    </row>
    <row r="7" ht="20" customHeight="1">
      <c r="A7" s="16" t="inlineStr">
        <is>
          <t>Lachnospira</t>
        </is>
      </c>
      <c r="B7" s="16" t="inlineStr">
        <is>
          <t>bacteria</t>
        </is>
      </c>
      <c r="C7" s="16" t="inlineStr">
        <is>
          <t>genus</t>
        </is>
      </c>
      <c r="D7" s="16" t="inlineStr">
        <is>
          <t>rheumatic heart disease</t>
        </is>
      </c>
      <c r="E7" s="27" t="inlineStr">
        <is>
          <t>decreased</t>
        </is>
      </c>
      <c r="F7" s="16" t="inlineStr">
        <is>
          <t>disease_vs_control</t>
        </is>
      </c>
      <c r="G7" s="16" t="inlineStr">
        <is>
          <t>fecal</t>
        </is>
      </c>
      <c r="H7" s="16" t="inlineStr"/>
      <c r="I7" s="16" t="inlineStr">
        <is>
          <t>medium</t>
        </is>
      </c>
      <c r="J7" s="18" t="inlineStr">
        <is>
          <t>verified</t>
        </is>
      </c>
      <c r="K7" s="18" t="inlineStr">
        <is>
          <t>keep</t>
        </is>
      </c>
      <c r="L7" s="19" t="inlineStr">
        <is>
          <t>In the gut, the patients possessed higher levels of genera including Bifidobacterium and Eubacterium, and lower levels of genera including Lachnospira, Bacteroides, and Faecalibacterium</t>
        </is>
      </c>
      <c r="M7" s="20" t="inlineStr"/>
      <c r="N7" s="21" t="inlineStr"/>
      <c r="O7" s="21" t="inlineStr"/>
    </row>
    <row r="8" ht="20" customHeight="1">
      <c r="A8" s="22" t="inlineStr">
        <is>
          <t>Shigella</t>
        </is>
      </c>
      <c r="B8" s="22" t="inlineStr">
        <is>
          <t>bacteria</t>
        </is>
      </c>
      <c r="C8" s="22" t="inlineStr">
        <is>
          <t>genus</t>
        </is>
      </c>
      <c r="D8" s="22" t="inlineStr">
        <is>
          <t>rheumatic heart disease</t>
        </is>
      </c>
      <c r="E8" s="17" t="inlineStr">
        <is>
          <t>increased</t>
        </is>
      </c>
      <c r="F8" s="22" t="inlineStr">
        <is>
          <t>disease_vs_control</t>
        </is>
      </c>
      <c r="G8" s="22" t="inlineStr">
        <is>
          <t>fecal</t>
        </is>
      </c>
      <c r="H8" s="22" t="inlineStr">
        <is>
          <t>&lt; 0.05</t>
        </is>
      </c>
      <c r="I8" s="22" t="inlineStr">
        <is>
          <t>high</t>
        </is>
      </c>
      <c r="J8" s="23" t="inlineStr">
        <is>
          <t>verified</t>
        </is>
      </c>
      <c r="K8" s="23" t="inlineStr">
        <is>
          <t>keep</t>
        </is>
      </c>
      <c r="L8" s="24" t="inlineStr">
        <is>
          <t>Among the 15 most abundant genera, relative abundance of Faecalibacterium and Bacteroides significantly decreased, while that of Shigella, Gemmiger, Bifidobacterium, Ruminococcus, Streptococcus and Dorea significantly increased in gut microbiota of RHD patients compared to control subjects</t>
        </is>
      </c>
      <c r="M8" s="20" t="inlineStr"/>
      <c r="N8" s="21" t="inlineStr"/>
      <c r="O8" s="21" t="inlineStr"/>
    </row>
    <row r="9" ht="20" customHeight="1">
      <c r="A9" s="16" t="inlineStr">
        <is>
          <t>Gemmiger</t>
        </is>
      </c>
      <c r="B9" s="16" t="inlineStr">
        <is>
          <t>bacteria</t>
        </is>
      </c>
      <c r="C9" s="16" t="inlineStr">
        <is>
          <t>genus</t>
        </is>
      </c>
      <c r="D9" s="16" t="inlineStr">
        <is>
          <t>rheumatic heart disease</t>
        </is>
      </c>
      <c r="E9" s="17" t="inlineStr">
        <is>
          <t>increased</t>
        </is>
      </c>
      <c r="F9" s="16" t="inlineStr">
        <is>
          <t>disease_vs_control</t>
        </is>
      </c>
      <c r="G9" s="16" t="inlineStr">
        <is>
          <t>fecal</t>
        </is>
      </c>
      <c r="H9" s="16" t="inlineStr">
        <is>
          <t>&lt; 0.05</t>
        </is>
      </c>
      <c r="I9" s="16" t="inlineStr">
        <is>
          <t>high</t>
        </is>
      </c>
      <c r="J9" s="18" t="inlineStr">
        <is>
          <t>verified</t>
        </is>
      </c>
      <c r="K9" s="18" t="inlineStr">
        <is>
          <t>keep</t>
        </is>
      </c>
      <c r="L9" s="19" t="inlineStr">
        <is>
          <t>Among the 15 most abundant genera, relative abundance of Faecalibacterium and Bacteroides significantly decreased, while that of Shigella, Gemmiger, Bifidobacterium, Ruminococcus, Streptococcus and Dorea significantly increased in gut microbiota of RHD patients compared to control subjects</t>
        </is>
      </c>
      <c r="M9" s="20" t="inlineStr"/>
      <c r="N9" s="21" t="inlineStr"/>
      <c r="O9" s="21" t="inlineStr"/>
    </row>
    <row r="10" ht="20" customHeight="1">
      <c r="A10" s="22" t="inlineStr">
        <is>
          <t>Ruminococcus</t>
        </is>
      </c>
      <c r="B10" s="22" t="inlineStr">
        <is>
          <t>bacteria</t>
        </is>
      </c>
      <c r="C10" s="22" t="inlineStr">
        <is>
          <t>genus</t>
        </is>
      </c>
      <c r="D10" s="22" t="inlineStr">
        <is>
          <t>rheumatic heart disease</t>
        </is>
      </c>
      <c r="E10" s="17" t="inlineStr">
        <is>
          <t>increased</t>
        </is>
      </c>
      <c r="F10" s="22" t="inlineStr">
        <is>
          <t>disease_vs_control</t>
        </is>
      </c>
      <c r="G10" s="22" t="inlineStr">
        <is>
          <t>fecal</t>
        </is>
      </c>
      <c r="H10" s="22" t="inlineStr">
        <is>
          <t>&lt; 0.05</t>
        </is>
      </c>
      <c r="I10" s="22" t="inlineStr">
        <is>
          <t>high</t>
        </is>
      </c>
      <c r="J10" s="23" t="inlineStr">
        <is>
          <t>verified</t>
        </is>
      </c>
      <c r="K10" s="23" t="inlineStr">
        <is>
          <t>keep</t>
        </is>
      </c>
      <c r="L10" s="24" t="inlineStr">
        <is>
          <t>Among the 15 most abundant genera, relative abundance of Faecalibacterium and Bacteroides significantly decreased, while that of Shigella, Gemmiger, Bifidobacterium, Ruminococcus, Streptococcus and Dorea significantly increased in gut microbiota of RHD patients compared to control subjects</t>
        </is>
      </c>
      <c r="M10" s="20" t="inlineStr"/>
      <c r="N10" s="21" t="inlineStr"/>
      <c r="O10" s="21" t="inlineStr"/>
    </row>
    <row r="11" ht="20" customHeight="1">
      <c r="A11" s="16" t="inlineStr">
        <is>
          <t>Streptococcus</t>
        </is>
      </c>
      <c r="B11" s="16" t="inlineStr">
        <is>
          <t>bacteria</t>
        </is>
      </c>
      <c r="C11" s="16" t="inlineStr">
        <is>
          <t>genus</t>
        </is>
      </c>
      <c r="D11" s="16" t="inlineStr">
        <is>
          <t>rheumatic heart disease</t>
        </is>
      </c>
      <c r="E11" s="17" t="inlineStr">
        <is>
          <t>increased</t>
        </is>
      </c>
      <c r="F11" s="16" t="inlineStr">
        <is>
          <t>disease_vs_control</t>
        </is>
      </c>
      <c r="G11" s="16" t="inlineStr">
        <is>
          <t>fecal</t>
        </is>
      </c>
      <c r="H11" s="16" t="inlineStr">
        <is>
          <t>&lt; 0.05</t>
        </is>
      </c>
      <c r="I11" s="16" t="inlineStr">
        <is>
          <t>high</t>
        </is>
      </c>
      <c r="J11" s="18" t="inlineStr">
        <is>
          <t>verified</t>
        </is>
      </c>
      <c r="K11" s="18" t="inlineStr">
        <is>
          <t>keep</t>
        </is>
      </c>
      <c r="L11" s="19" t="inlineStr">
        <is>
          <t>Among the 15 most abundant genera, relative abundance of Faecalibacterium and Bacteroides significantly decreased, while that of Shigella, Gemmiger, Bifidobacterium, Ruminococcus, Streptococcus and Dorea significantly increased in gut microbiota of RHD patients compared to control subjects</t>
        </is>
      </c>
      <c r="M11" s="20" t="inlineStr"/>
      <c r="N11" s="21" t="inlineStr"/>
      <c r="O11" s="21" t="inlineStr"/>
    </row>
    <row r="12" ht="20" customHeight="1">
      <c r="A12" s="22" t="inlineStr">
        <is>
          <t>Dorea</t>
        </is>
      </c>
      <c r="B12" s="22" t="inlineStr">
        <is>
          <t>bacteria</t>
        </is>
      </c>
      <c r="C12" s="22" t="inlineStr">
        <is>
          <t>genus</t>
        </is>
      </c>
      <c r="D12" s="22" t="inlineStr">
        <is>
          <t>rheumatic heart disease</t>
        </is>
      </c>
      <c r="E12" s="17" t="inlineStr">
        <is>
          <t>increased</t>
        </is>
      </c>
      <c r="F12" s="22" t="inlineStr">
        <is>
          <t>disease_vs_control</t>
        </is>
      </c>
      <c r="G12" s="22" t="inlineStr">
        <is>
          <t>fecal</t>
        </is>
      </c>
      <c r="H12" s="22" t="inlineStr">
        <is>
          <t>&lt; 0.05</t>
        </is>
      </c>
      <c r="I12" s="22" t="inlineStr">
        <is>
          <t>high</t>
        </is>
      </c>
      <c r="J12" s="23" t="inlineStr">
        <is>
          <t>verified</t>
        </is>
      </c>
      <c r="K12" s="23" t="inlineStr">
        <is>
          <t>keep</t>
        </is>
      </c>
      <c r="L12" s="24" t="inlineStr">
        <is>
          <t>Among the 15 most abundant genera, relative abundance of Faecalibacterium and Bacteroides significantly decreased, while that of Shigella, Gemmiger, Bifidobacterium, Ruminococcus, Streptococcus and Dorea significantly increased in gut microbiota of RHD patients compared to control subjects</t>
        </is>
      </c>
      <c r="M12" s="20" t="inlineStr"/>
      <c r="N12" s="21" t="inlineStr"/>
      <c r="O12" s="21" t="inlineStr"/>
    </row>
    <row r="13" ht="20" customHeight="1">
      <c r="A13" s="16" t="inlineStr">
        <is>
          <t>Blautia</t>
        </is>
      </c>
      <c r="B13" s="16" t="inlineStr">
        <is>
          <t>bacteria</t>
        </is>
      </c>
      <c r="C13" s="16" t="inlineStr">
        <is>
          <t>genus</t>
        </is>
      </c>
      <c r="D13" s="16" t="inlineStr">
        <is>
          <t>rheumatic heart disease</t>
        </is>
      </c>
      <c r="E13" s="17" t="inlineStr">
        <is>
          <t>increased</t>
        </is>
      </c>
      <c r="F13" s="16" t="inlineStr">
        <is>
          <t>disease_vs_control</t>
        </is>
      </c>
      <c r="G13" s="16" t="inlineStr">
        <is>
          <t>fecal</t>
        </is>
      </c>
      <c r="H13" s="16" t="inlineStr"/>
      <c r="I13" s="16" t="inlineStr">
        <is>
          <t>low</t>
        </is>
      </c>
      <c r="J13" s="18" t="inlineStr">
        <is>
          <t>verified</t>
        </is>
      </c>
      <c r="K13" s="18" t="inlineStr">
        <is>
          <t>keep_flagged</t>
        </is>
      </c>
      <c r="L13" s="19" t="inlineStr">
        <is>
          <t>In addition, relative abundance of Blauita showed a trend of increase without statistical significance in gut microbiota of RHD patients</t>
        </is>
      </c>
      <c r="M13" s="20" t="inlineStr"/>
      <c r="N13" s="21" t="inlineStr"/>
      <c r="O13" s="21" t="inlineStr"/>
    </row>
    <row r="14" ht="20" customHeight="1">
      <c r="A14" s="22" t="inlineStr">
        <is>
          <t>Arthrobacter</t>
        </is>
      </c>
      <c r="B14" s="22" t="inlineStr">
        <is>
          <t>bacteria</t>
        </is>
      </c>
      <c r="C14" s="22" t="inlineStr">
        <is>
          <t>genus</t>
        </is>
      </c>
      <c r="D14" s="22" t="inlineStr">
        <is>
          <t>rheumatic heart disease</t>
        </is>
      </c>
      <c r="E14" s="17" t="inlineStr">
        <is>
          <t>increased</t>
        </is>
      </c>
      <c r="F14" s="22" t="inlineStr">
        <is>
          <t>disease_vs_control</t>
        </is>
      </c>
      <c r="G14" s="22" t="inlineStr">
        <is>
          <t>fecal</t>
        </is>
      </c>
      <c r="H14" s="22" t="inlineStr"/>
      <c r="I14" s="22" t="inlineStr">
        <is>
          <t>medium</t>
        </is>
      </c>
      <c r="J14" s="23" t="inlineStr">
        <is>
          <t>verified</t>
        </is>
      </c>
      <c r="K14" s="23" t="inlineStr">
        <is>
          <t>keep</t>
        </is>
      </c>
      <c r="L14" s="24" t="inlineStr">
        <is>
          <t>LEfSe identified higher levels of taxa including Arthrobacter, Bifidobacterium, Porphyromonas, Melissococccus, Eubacterium, Ruminococcus, Dorea, Gemmiger, etc., as well as lower levels of taxa such as Staphylococcus, Lachnospira, Faecalibacterium, and Oxalobacter in fecal samples of RHD patients</t>
        </is>
      </c>
      <c r="M14" s="20" t="inlineStr"/>
      <c r="N14" s="21" t="inlineStr"/>
      <c r="O14" s="21" t="inlineStr"/>
    </row>
    <row r="15" ht="20" customHeight="1">
      <c r="A15" s="16" t="inlineStr">
        <is>
          <t>Porphyromonas</t>
        </is>
      </c>
      <c r="B15" s="16" t="inlineStr">
        <is>
          <t>bacteria</t>
        </is>
      </c>
      <c r="C15" s="16" t="inlineStr">
        <is>
          <t>genus</t>
        </is>
      </c>
      <c r="D15" s="16" t="inlineStr">
        <is>
          <t>rheumatic heart disease</t>
        </is>
      </c>
      <c r="E15" s="17" t="inlineStr">
        <is>
          <t>increased</t>
        </is>
      </c>
      <c r="F15" s="16" t="inlineStr">
        <is>
          <t>disease_vs_control</t>
        </is>
      </c>
      <c r="G15" s="16" t="inlineStr">
        <is>
          <t>fecal</t>
        </is>
      </c>
      <c r="H15" s="16" t="inlineStr"/>
      <c r="I15" s="16" t="inlineStr">
        <is>
          <t>medium</t>
        </is>
      </c>
      <c r="J15" s="18" t="inlineStr">
        <is>
          <t>verified</t>
        </is>
      </c>
      <c r="K15" s="18" t="inlineStr">
        <is>
          <t>keep</t>
        </is>
      </c>
      <c r="L15" s="19" t="inlineStr">
        <is>
          <t>LEfSe identified higher levels of taxa including Arthrobacter, Bifidobacterium, Porphyromonas, Melissococccus, Eubacterium, Ruminococcus, Dorea, Gemmiger, etc., as well as lower levels of taxa such as Staphylococcus, Lachnospira, Faecalibacterium, and Oxalobacter in fecal samples of RHD patients</t>
        </is>
      </c>
      <c r="M15" s="20" t="inlineStr"/>
      <c r="N15" s="21" t="inlineStr"/>
      <c r="O15" s="21" t="inlineStr"/>
    </row>
    <row r="16" ht="20" customHeight="1">
      <c r="A16" s="22" t="inlineStr">
        <is>
          <t>Melissococcus</t>
        </is>
      </c>
      <c r="B16" s="22" t="inlineStr">
        <is>
          <t>bacteria</t>
        </is>
      </c>
      <c r="C16" s="22" t="inlineStr">
        <is>
          <t>genus</t>
        </is>
      </c>
      <c r="D16" s="22" t="inlineStr">
        <is>
          <t>rheumatic heart disease</t>
        </is>
      </c>
      <c r="E16" s="17" t="inlineStr">
        <is>
          <t>increased</t>
        </is>
      </c>
      <c r="F16" s="22" t="inlineStr">
        <is>
          <t>disease_vs_control</t>
        </is>
      </c>
      <c r="G16" s="22" t="inlineStr">
        <is>
          <t>fecal</t>
        </is>
      </c>
      <c r="H16" s="22" t="inlineStr"/>
      <c r="I16" s="22" t="inlineStr">
        <is>
          <t>medium</t>
        </is>
      </c>
      <c r="J16" s="23" t="inlineStr">
        <is>
          <t>verified</t>
        </is>
      </c>
      <c r="K16" s="23" t="inlineStr">
        <is>
          <t>keep_flagged</t>
        </is>
      </c>
      <c r="L16" s="24" t="inlineStr">
        <is>
          <t>LEfSe identified higher levels of taxa including Arthrobacter, Bifidobacterium, Porphyromonas, Melissococccus, Eubacterium, Ruminococcus, Dorea, Gemmiger, etc., as well as lower levels of taxa such as Staphylococcus, Lachnospira, Faecalibacterium, and Oxalobacter in fecal samples of RHD patients</t>
        </is>
      </c>
      <c r="M16" s="20" t="inlineStr"/>
      <c r="N16" s="21" t="inlineStr"/>
      <c r="O16" s="21" t="inlineStr"/>
    </row>
    <row r="17" ht="20" customHeight="1">
      <c r="A17" s="16" t="inlineStr">
        <is>
          <t>Staphylococcus</t>
        </is>
      </c>
      <c r="B17" s="16" t="inlineStr">
        <is>
          <t>bacteria</t>
        </is>
      </c>
      <c r="C17" s="16" t="inlineStr">
        <is>
          <t>genus</t>
        </is>
      </c>
      <c r="D17" s="16" t="inlineStr">
        <is>
          <t>rheumatic heart disease</t>
        </is>
      </c>
      <c r="E17" s="27" t="inlineStr">
        <is>
          <t>decreased</t>
        </is>
      </c>
      <c r="F17" s="16" t="inlineStr">
        <is>
          <t>disease_vs_control</t>
        </is>
      </c>
      <c r="G17" s="16" t="inlineStr">
        <is>
          <t>fecal</t>
        </is>
      </c>
      <c r="H17" s="16" t="inlineStr"/>
      <c r="I17" s="16" t="inlineStr">
        <is>
          <t>medium</t>
        </is>
      </c>
      <c r="J17" s="18" t="inlineStr">
        <is>
          <t>verified</t>
        </is>
      </c>
      <c r="K17" s="18" t="inlineStr">
        <is>
          <t>keep</t>
        </is>
      </c>
      <c r="L17" s="19" t="inlineStr">
        <is>
          <t>LEfSe identified higher levels of taxa including Arthrobacter, Bifidobacterium, Porphyromonas, Melissococccus, Eubacterium, Ruminococcus, Dorea, Gemmiger, etc., as well as lower levels of taxa such as Staphylococcus, Lachnospira, Faecalibacterium, and Oxalobacter in fecal samples of RHD patients</t>
        </is>
      </c>
      <c r="M17" s="20" t="inlineStr"/>
      <c r="N17" s="21" t="inlineStr"/>
      <c r="O17" s="21" t="inlineStr"/>
    </row>
    <row r="18" ht="20" customHeight="1">
      <c r="A18" s="22" t="inlineStr">
        <is>
          <t>Oxalobacter</t>
        </is>
      </c>
      <c r="B18" s="22" t="inlineStr">
        <is>
          <t>bacteria</t>
        </is>
      </c>
      <c r="C18" s="22" t="inlineStr">
        <is>
          <t>genus</t>
        </is>
      </c>
      <c r="D18" s="22" t="inlineStr">
        <is>
          <t>rheumatic heart disease</t>
        </is>
      </c>
      <c r="E18" s="27" t="inlineStr">
        <is>
          <t>decreased</t>
        </is>
      </c>
      <c r="F18" s="22" t="inlineStr">
        <is>
          <t>disease_vs_control</t>
        </is>
      </c>
      <c r="G18" s="22" t="inlineStr">
        <is>
          <t>fecal</t>
        </is>
      </c>
      <c r="H18" s="22" t="inlineStr"/>
      <c r="I18" s="22" t="inlineStr">
        <is>
          <t>medium</t>
        </is>
      </c>
      <c r="J18" s="23" t="inlineStr">
        <is>
          <t>verified</t>
        </is>
      </c>
      <c r="K18" s="23" t="inlineStr">
        <is>
          <t>keep</t>
        </is>
      </c>
      <c r="L18" s="24" t="inlineStr">
        <is>
          <t>LEfSe identified higher levels of taxa including Arthrobacter, Bifidobacterium, Porphyromonas, Melissococccus, Eubacterium, Ruminococcus, Dorea, Gemmiger, etc., as well as lower levels of taxa such as Staphylococcus, Lachnospira, Faecalibacterium, and Oxalobacter in fecal samples of RHD patients</t>
        </is>
      </c>
      <c r="M18" s="20" t="inlineStr"/>
      <c r="N18" s="21" t="inlineStr"/>
      <c r="O18" s="21" t="inlineStr"/>
    </row>
    <row r="19" ht="20" customHeight="1">
      <c r="A19" s="16" t="inlineStr">
        <is>
          <t>Corynebacterium</t>
        </is>
      </c>
      <c r="B19" s="16" t="inlineStr">
        <is>
          <t>bacteria</t>
        </is>
      </c>
      <c r="C19" s="16" t="inlineStr">
        <is>
          <t>genus</t>
        </is>
      </c>
      <c r="D19" s="16" t="inlineStr">
        <is>
          <t>rheumatic heart disease</t>
        </is>
      </c>
      <c r="E19" s="27" t="inlineStr">
        <is>
          <t>decreased</t>
        </is>
      </c>
      <c r="F19" s="16" t="inlineStr">
        <is>
          <t>disease_vs_control</t>
        </is>
      </c>
      <c r="G19" s="16" t="inlineStr">
        <is>
          <t>oral</t>
        </is>
      </c>
      <c r="H19" s="16" t="inlineStr">
        <is>
          <t>&lt; 0.05</t>
        </is>
      </c>
      <c r="I19" s="16" t="inlineStr">
        <is>
          <t>high</t>
        </is>
      </c>
      <c r="J19" s="18" t="inlineStr">
        <is>
          <t>verified</t>
        </is>
      </c>
      <c r="K19" s="18" t="inlineStr">
        <is>
          <t>keep</t>
        </is>
      </c>
      <c r="L19" s="19" t="inlineStr">
        <is>
          <t>Among the 15 most abundant genera, relative abundance of Corynebacterium and Selenomonas significantly decreased, while that of Streptococcus and Blautia significantly increased in subgingival plaque microbiota of RHD patients compared to control subjects</t>
        </is>
      </c>
      <c r="M19" s="20" t="inlineStr"/>
      <c r="N19" s="21" t="inlineStr"/>
      <c r="O19" s="21" t="inlineStr"/>
    </row>
    <row r="20" ht="20" customHeight="1">
      <c r="A20" s="22" t="inlineStr">
        <is>
          <t>Selenomonas</t>
        </is>
      </c>
      <c r="B20" s="22" t="inlineStr">
        <is>
          <t>bacteria</t>
        </is>
      </c>
      <c r="C20" s="22" t="inlineStr">
        <is>
          <t>genus</t>
        </is>
      </c>
      <c r="D20" s="22" t="inlineStr">
        <is>
          <t>rheumatic heart disease</t>
        </is>
      </c>
      <c r="E20" s="27" t="inlineStr">
        <is>
          <t>decreased</t>
        </is>
      </c>
      <c r="F20" s="22" t="inlineStr">
        <is>
          <t>disease_vs_control</t>
        </is>
      </c>
      <c r="G20" s="22" t="inlineStr">
        <is>
          <t>oral</t>
        </is>
      </c>
      <c r="H20" s="22" t="inlineStr">
        <is>
          <t>&lt; 0.05</t>
        </is>
      </c>
      <c r="I20" s="22" t="inlineStr">
        <is>
          <t>high</t>
        </is>
      </c>
      <c r="J20" s="23" t="inlineStr">
        <is>
          <t>verified</t>
        </is>
      </c>
      <c r="K20" s="23" t="inlineStr">
        <is>
          <t>keep</t>
        </is>
      </c>
      <c r="L20" s="24" t="inlineStr">
        <is>
          <t>Among the 15 most abundant genera, relative abundance of Corynebacterium and Selenomonas significantly decreased, while that of Streptococcus and Blautia significantly increased in subgingival plaque microbiota of RHD patients compared to control subjects</t>
        </is>
      </c>
      <c r="M20" s="20" t="inlineStr"/>
      <c r="N20" s="21" t="inlineStr"/>
      <c r="O20" s="21" t="inlineStr"/>
    </row>
    <row r="21" ht="20" customHeight="1">
      <c r="A21" s="16" t="inlineStr">
        <is>
          <t>Streptococcus</t>
        </is>
      </c>
      <c r="B21" s="16" t="inlineStr">
        <is>
          <t>bacteria</t>
        </is>
      </c>
      <c r="C21" s="16" t="inlineStr">
        <is>
          <t>genus</t>
        </is>
      </c>
      <c r="D21" s="16" t="inlineStr">
        <is>
          <t>rheumatic heart disease</t>
        </is>
      </c>
      <c r="E21" s="17" t="inlineStr">
        <is>
          <t>increased</t>
        </is>
      </c>
      <c r="F21" s="16" t="inlineStr">
        <is>
          <t>disease_vs_control</t>
        </is>
      </c>
      <c r="G21" s="16" t="inlineStr">
        <is>
          <t>oral</t>
        </is>
      </c>
      <c r="H21" s="16" t="inlineStr">
        <is>
          <t>&lt; 0.05</t>
        </is>
      </c>
      <c r="I21" s="16" t="inlineStr">
        <is>
          <t>high</t>
        </is>
      </c>
      <c r="J21" s="18" t="inlineStr">
        <is>
          <t>verified</t>
        </is>
      </c>
      <c r="K21" s="18" t="inlineStr">
        <is>
          <t>keep</t>
        </is>
      </c>
      <c r="L21" s="19" t="inlineStr">
        <is>
          <t>Among the 15 most abundant genera, relative abundance of Corynebacterium and Selenomonas significantly decreased, while that of Streptococcus and Blautia significantly increased in subgingival plaque microbiota of RHD patients compared to control subjects</t>
        </is>
      </c>
      <c r="M21" s="20" t="inlineStr"/>
      <c r="N21" s="21" t="inlineStr"/>
      <c r="O21" s="21" t="inlineStr"/>
    </row>
    <row r="22" ht="20" customHeight="1">
      <c r="A22" s="22" t="inlineStr">
        <is>
          <t>Blautia</t>
        </is>
      </c>
      <c r="B22" s="22" t="inlineStr">
        <is>
          <t>bacteria</t>
        </is>
      </c>
      <c r="C22" s="22" t="inlineStr">
        <is>
          <t>genus</t>
        </is>
      </c>
      <c r="D22" s="22" t="inlineStr">
        <is>
          <t>rheumatic heart disease</t>
        </is>
      </c>
      <c r="E22" s="17" t="inlineStr">
        <is>
          <t>increased</t>
        </is>
      </c>
      <c r="F22" s="22" t="inlineStr">
        <is>
          <t>disease_vs_control</t>
        </is>
      </c>
      <c r="G22" s="22" t="inlineStr">
        <is>
          <t>oral</t>
        </is>
      </c>
      <c r="H22" s="22" t="inlineStr">
        <is>
          <t>&lt; 0.05</t>
        </is>
      </c>
      <c r="I22" s="22" t="inlineStr">
        <is>
          <t>high</t>
        </is>
      </c>
      <c r="J22" s="23" t="inlineStr">
        <is>
          <t>verified</t>
        </is>
      </c>
      <c r="K22" s="23" t="inlineStr">
        <is>
          <t>keep</t>
        </is>
      </c>
      <c r="L22" s="24" t="inlineStr">
        <is>
          <t>Among the 15 most abundant genera, relative abundance of Corynebacterium and Selenomonas significantly decreased, while that of Streptococcus and Blautia significantly increased in subgingival plaque microbiota of RHD patients compared to control subjects</t>
        </is>
      </c>
      <c r="M22" s="20" t="inlineStr"/>
      <c r="N22" s="21" t="inlineStr"/>
      <c r="O22" s="21" t="inlineStr"/>
    </row>
    <row r="23" ht="20" customHeight="1">
      <c r="A23" s="16" t="inlineStr">
        <is>
          <t>Ruminococcus</t>
        </is>
      </c>
      <c r="B23" s="16" t="inlineStr">
        <is>
          <t>bacteria</t>
        </is>
      </c>
      <c r="C23" s="16" t="inlineStr">
        <is>
          <t>genus</t>
        </is>
      </c>
      <c r="D23" s="16" t="inlineStr">
        <is>
          <t>rheumatic heart disease</t>
        </is>
      </c>
      <c r="E23" s="17" t="inlineStr">
        <is>
          <t>increased</t>
        </is>
      </c>
      <c r="F23" s="16" t="inlineStr">
        <is>
          <t>disease_vs_control</t>
        </is>
      </c>
      <c r="G23" s="16" t="inlineStr">
        <is>
          <t>oral</t>
        </is>
      </c>
      <c r="H23" s="16" t="inlineStr"/>
      <c r="I23" s="16" t="inlineStr">
        <is>
          <t>medium</t>
        </is>
      </c>
      <c r="J23" s="18" t="inlineStr">
        <is>
          <t>verified</t>
        </is>
      </c>
      <c r="K23" s="18" t="inlineStr">
        <is>
          <t>keep</t>
        </is>
      </c>
      <c r="L23" s="19" t="inlineStr">
        <is>
          <t>LEfSe identified higher levels of taxa including Streptococcus, Ruminococcus, Blautia, Dorea, Lachnoanaerobaculum, Roseburia, Gemmiger, as well as lower levels of taxa such as Corynebacterium, Staphylococcus, Lactobacillus and Selenomonas in subgingival plaque samples of RHD patients</t>
        </is>
      </c>
      <c r="M23" s="20" t="inlineStr"/>
      <c r="N23" s="21" t="inlineStr"/>
      <c r="O23" s="21" t="inlineStr"/>
    </row>
    <row r="24" ht="20" customHeight="1">
      <c r="A24" s="22" t="inlineStr">
        <is>
          <t>Dorea</t>
        </is>
      </c>
      <c r="B24" s="22" t="inlineStr">
        <is>
          <t>bacteria</t>
        </is>
      </c>
      <c r="C24" s="22" t="inlineStr">
        <is>
          <t>genus</t>
        </is>
      </c>
      <c r="D24" s="22" t="inlineStr">
        <is>
          <t>rheumatic heart disease</t>
        </is>
      </c>
      <c r="E24" s="17" t="inlineStr">
        <is>
          <t>increased</t>
        </is>
      </c>
      <c r="F24" s="22" t="inlineStr">
        <is>
          <t>disease_vs_control</t>
        </is>
      </c>
      <c r="G24" s="22" t="inlineStr">
        <is>
          <t>oral</t>
        </is>
      </c>
      <c r="H24" s="22" t="inlineStr"/>
      <c r="I24" s="22" t="inlineStr">
        <is>
          <t>medium</t>
        </is>
      </c>
      <c r="J24" s="23" t="inlineStr">
        <is>
          <t>verified</t>
        </is>
      </c>
      <c r="K24" s="23" t="inlineStr">
        <is>
          <t>keep</t>
        </is>
      </c>
      <c r="L24" s="24" t="inlineStr">
        <is>
          <t>LEfSe identified higher levels of taxa including Streptococcus, Ruminococcus, Blautia, Dorea, Lachnoanaerobaculum, Roseburia, Gemmiger, as well as lower levels of taxa such as Corynebacterium, Staphylococcus, Lactobacillus and Selenomonas in subgingival plaque samples of RHD patients</t>
        </is>
      </c>
      <c r="M24" s="20" t="inlineStr"/>
      <c r="N24" s="21" t="inlineStr"/>
      <c r="O24" s="21" t="inlineStr"/>
    </row>
    <row r="25" ht="20" customHeight="1">
      <c r="A25" s="16" t="inlineStr">
        <is>
          <t>Lachnoanaerobaculum</t>
        </is>
      </c>
      <c r="B25" s="16" t="inlineStr">
        <is>
          <t>bacteria</t>
        </is>
      </c>
      <c r="C25" s="16" t="inlineStr">
        <is>
          <t>genus</t>
        </is>
      </c>
      <c r="D25" s="16" t="inlineStr">
        <is>
          <t>rheumatic heart disease</t>
        </is>
      </c>
      <c r="E25" s="17" t="inlineStr">
        <is>
          <t>increased</t>
        </is>
      </c>
      <c r="F25" s="16" t="inlineStr">
        <is>
          <t>disease_vs_control</t>
        </is>
      </c>
      <c r="G25" s="16" t="inlineStr">
        <is>
          <t>oral</t>
        </is>
      </c>
      <c r="H25" s="16" t="inlineStr"/>
      <c r="I25" s="16" t="inlineStr">
        <is>
          <t>medium</t>
        </is>
      </c>
      <c r="J25" s="18" t="inlineStr">
        <is>
          <t>verified</t>
        </is>
      </c>
      <c r="K25" s="18" t="inlineStr">
        <is>
          <t>keep</t>
        </is>
      </c>
      <c r="L25" s="19" t="inlineStr">
        <is>
          <t>LEfSe identified higher levels of taxa including Streptococcus, Ruminococcus, Blautia, Dorea, Lachnoanaerobaculum, Roseburia, Gemmiger, as well as lower levels of taxa such as Corynebacterium, Staphylococcus, Lactobacillus and Selenomonas in subgingival plaque samples of RHD patients</t>
        </is>
      </c>
      <c r="M25" s="20" t="inlineStr"/>
      <c r="N25" s="21" t="inlineStr"/>
      <c r="O25" s="21" t="inlineStr"/>
    </row>
    <row r="26" ht="20" customHeight="1">
      <c r="A26" s="22" t="inlineStr">
        <is>
          <t>Roseburia</t>
        </is>
      </c>
      <c r="B26" s="22" t="inlineStr">
        <is>
          <t>bacteria</t>
        </is>
      </c>
      <c r="C26" s="22" t="inlineStr">
        <is>
          <t>genus</t>
        </is>
      </c>
      <c r="D26" s="22" t="inlineStr">
        <is>
          <t>rheumatic heart disease</t>
        </is>
      </c>
      <c r="E26" s="17" t="inlineStr">
        <is>
          <t>increased</t>
        </is>
      </c>
      <c r="F26" s="22" t="inlineStr">
        <is>
          <t>disease_vs_control</t>
        </is>
      </c>
      <c r="G26" s="22" t="inlineStr">
        <is>
          <t>oral</t>
        </is>
      </c>
      <c r="H26" s="22" t="inlineStr"/>
      <c r="I26" s="22" t="inlineStr">
        <is>
          <t>medium</t>
        </is>
      </c>
      <c r="J26" s="23" t="inlineStr">
        <is>
          <t>verified</t>
        </is>
      </c>
      <c r="K26" s="23" t="inlineStr">
        <is>
          <t>keep</t>
        </is>
      </c>
      <c r="L26" s="24" t="inlineStr">
        <is>
          <t>LEfSe identified higher levels of taxa including Streptococcus, Ruminococcus, Blautia, Dorea, Lachnoanaerobaculum, Roseburia, Gemmiger, as well as lower levels of taxa such as Corynebacterium, Staphylococcus, Lactobacillus and Selenomonas in subgingival plaque samples of RHD patients</t>
        </is>
      </c>
      <c r="M26" s="20" t="inlineStr"/>
      <c r="N26" s="21" t="inlineStr"/>
      <c r="O26" s="21" t="inlineStr"/>
    </row>
    <row r="27" ht="20" customHeight="1">
      <c r="A27" s="16" t="inlineStr">
        <is>
          <t>Gemmiger</t>
        </is>
      </c>
      <c r="B27" s="16" t="inlineStr">
        <is>
          <t>bacteria</t>
        </is>
      </c>
      <c r="C27" s="16" t="inlineStr">
        <is>
          <t>genus</t>
        </is>
      </c>
      <c r="D27" s="16" t="inlineStr">
        <is>
          <t>rheumatic heart disease</t>
        </is>
      </c>
      <c r="E27" s="17" t="inlineStr">
        <is>
          <t>increased</t>
        </is>
      </c>
      <c r="F27" s="16" t="inlineStr">
        <is>
          <t>disease_vs_control</t>
        </is>
      </c>
      <c r="G27" s="16" t="inlineStr">
        <is>
          <t>oral</t>
        </is>
      </c>
      <c r="H27" s="16" t="inlineStr"/>
      <c r="I27" s="16" t="inlineStr">
        <is>
          <t>medium</t>
        </is>
      </c>
      <c r="J27" s="18" t="inlineStr">
        <is>
          <t>verified</t>
        </is>
      </c>
      <c r="K27" s="18" t="inlineStr">
        <is>
          <t>keep</t>
        </is>
      </c>
      <c r="L27" s="19" t="inlineStr">
        <is>
          <t>LEfSe identified higher levels of taxa including Streptococcus, Ruminococcus, Blautia, Dorea, Lachnoanaerobaculum, Roseburia, Gemmiger, as well as lower levels of taxa such as Corynebacterium, Staphylococcus, Lactobacillus and Selenomonas in subgingival plaque samples of RHD patients</t>
        </is>
      </c>
      <c r="M27" s="20" t="inlineStr"/>
      <c r="N27" s="21" t="inlineStr"/>
      <c r="O27" s="21" t="inlineStr"/>
    </row>
    <row r="28" ht="20" customHeight="1">
      <c r="A28" s="22" t="inlineStr">
        <is>
          <t>Staphylococcus</t>
        </is>
      </c>
      <c r="B28" s="22" t="inlineStr">
        <is>
          <t>bacteria</t>
        </is>
      </c>
      <c r="C28" s="22" t="inlineStr">
        <is>
          <t>genus</t>
        </is>
      </c>
      <c r="D28" s="22" t="inlineStr">
        <is>
          <t>rheumatic heart disease</t>
        </is>
      </c>
      <c r="E28" s="27" t="inlineStr">
        <is>
          <t>decreased</t>
        </is>
      </c>
      <c r="F28" s="22" t="inlineStr">
        <is>
          <t>disease_vs_control</t>
        </is>
      </c>
      <c r="G28" s="22" t="inlineStr">
        <is>
          <t>oral</t>
        </is>
      </c>
      <c r="H28" s="22" t="inlineStr"/>
      <c r="I28" s="22" t="inlineStr">
        <is>
          <t>medium</t>
        </is>
      </c>
      <c r="J28" s="23" t="inlineStr">
        <is>
          <t>verified</t>
        </is>
      </c>
      <c r="K28" s="23" t="inlineStr">
        <is>
          <t>keep</t>
        </is>
      </c>
      <c r="L28" s="24" t="inlineStr">
        <is>
          <t>LEfSe identified higher levels of taxa including Streptococcus, Ruminococcus, Blautia, Dorea, Lachnoanaerobaculum, Roseburia, Gemmiger, as well as lower levels of taxa such as Corynebacterium, Staphylococcus, Lactobacillus and Selenomonas in subgingival plaque samples of RHD patients</t>
        </is>
      </c>
      <c r="M28" s="20" t="inlineStr"/>
      <c r="N28" s="21" t="inlineStr"/>
      <c r="O28" s="21" t="inlineStr"/>
    </row>
    <row r="29" ht="20" customHeight="1">
      <c r="A29" s="16" t="inlineStr">
        <is>
          <t>Lactobacillus</t>
        </is>
      </c>
      <c r="B29" s="16" t="inlineStr">
        <is>
          <t>bacteria</t>
        </is>
      </c>
      <c r="C29" s="16" t="inlineStr">
        <is>
          <t>genus</t>
        </is>
      </c>
      <c r="D29" s="16" t="inlineStr">
        <is>
          <t>rheumatic heart disease</t>
        </is>
      </c>
      <c r="E29" s="27" t="inlineStr">
        <is>
          <t>decreased</t>
        </is>
      </c>
      <c r="F29" s="16" t="inlineStr">
        <is>
          <t>disease_vs_control</t>
        </is>
      </c>
      <c r="G29" s="16" t="inlineStr">
        <is>
          <t>oral</t>
        </is>
      </c>
      <c r="H29" s="16" t="inlineStr"/>
      <c r="I29" s="16" t="inlineStr">
        <is>
          <t>medium</t>
        </is>
      </c>
      <c r="J29" s="18" t="inlineStr">
        <is>
          <t>verified</t>
        </is>
      </c>
      <c r="K29" s="18" t="inlineStr">
        <is>
          <t>keep</t>
        </is>
      </c>
      <c r="L29" s="19" t="inlineStr">
        <is>
          <t>LEfSe identified higher levels of taxa including Streptococcus, Ruminococcus, Blautia, Dorea, Lachnoanaerobaculum, Roseburia, Gemmiger, as well as lower levels of taxa such as Corynebacterium, Staphylococcus, Lactobacillus and Selenomonas in subgingival plaque samples of RHD patients</t>
        </is>
      </c>
      <c r="M29" s="20" t="inlineStr"/>
      <c r="N29" s="21" t="inlineStr"/>
      <c r="O29" s="21" t="inlineStr"/>
    </row>
    <row r="30" ht="20" customHeight="1">
      <c r="A30" s="22" t="inlineStr">
        <is>
          <t>Prevotella</t>
        </is>
      </c>
      <c r="B30" s="22" t="inlineStr">
        <is>
          <t>bacteria</t>
        </is>
      </c>
      <c r="C30" s="22" t="inlineStr">
        <is>
          <t>genus</t>
        </is>
      </c>
      <c r="D30" s="22" t="inlineStr">
        <is>
          <t>rheumatic heart disease</t>
        </is>
      </c>
      <c r="E30" s="27" t="inlineStr">
        <is>
          <t>decreased</t>
        </is>
      </c>
      <c r="F30" s="22" t="inlineStr">
        <is>
          <t>disease_vs_control</t>
        </is>
      </c>
      <c r="G30" s="22" t="inlineStr">
        <is>
          <t>oral</t>
        </is>
      </c>
      <c r="H30" s="22" t="inlineStr">
        <is>
          <t>&lt; 0.05</t>
        </is>
      </c>
      <c r="I30" s="22" t="inlineStr">
        <is>
          <t>high</t>
        </is>
      </c>
      <c r="J30" s="23" t="inlineStr">
        <is>
          <t>verified</t>
        </is>
      </c>
      <c r="K30" s="23" t="inlineStr">
        <is>
          <t>keep</t>
        </is>
      </c>
      <c r="L30" s="24" t="inlineStr">
        <is>
          <t>Among the 15 most abundant genera, relative abundance of Prevotella, Haemophilus, Veillonella, Campylobacter, and Actinomyces significantly decreased, while that of Streptococcus and Rothia significantly increased in salivary microbiota of RHD patients compared to control subjects</t>
        </is>
      </c>
      <c r="M30" s="20" t="inlineStr"/>
      <c r="N30" s="21" t="inlineStr"/>
      <c r="O30" s="21" t="inlineStr"/>
    </row>
    <row r="31" ht="20" customHeight="1">
      <c r="A31" s="16" t="inlineStr">
        <is>
          <t>Haemophilus</t>
        </is>
      </c>
      <c r="B31" s="16" t="inlineStr">
        <is>
          <t>bacteria</t>
        </is>
      </c>
      <c r="C31" s="16" t="inlineStr">
        <is>
          <t>genus</t>
        </is>
      </c>
      <c r="D31" s="16" t="inlineStr">
        <is>
          <t>rheumatic heart disease</t>
        </is>
      </c>
      <c r="E31" s="27" t="inlineStr">
        <is>
          <t>decreased</t>
        </is>
      </c>
      <c r="F31" s="16" t="inlineStr">
        <is>
          <t>disease_vs_control</t>
        </is>
      </c>
      <c r="G31" s="16" t="inlineStr">
        <is>
          <t>oral</t>
        </is>
      </c>
      <c r="H31" s="16" t="inlineStr">
        <is>
          <t>&lt; 0.05</t>
        </is>
      </c>
      <c r="I31" s="16" t="inlineStr">
        <is>
          <t>high</t>
        </is>
      </c>
      <c r="J31" s="18" t="inlineStr">
        <is>
          <t>verified</t>
        </is>
      </c>
      <c r="K31" s="18" t="inlineStr">
        <is>
          <t>keep</t>
        </is>
      </c>
      <c r="L31" s="19" t="inlineStr">
        <is>
          <t>Among the 15 most abundant genera, relative abundance of Prevotella, Haemophilus, Veillonella, Campylobacter, and Actinomyces significantly decreased, while that of Streptococcus and Rothia significantly increased in salivary microbiota of RHD patients compared to control subjects</t>
        </is>
      </c>
      <c r="M31" s="20" t="inlineStr"/>
      <c r="N31" s="21" t="inlineStr"/>
      <c r="O31" s="21" t="inlineStr"/>
    </row>
    <row r="32" ht="20" customHeight="1">
      <c r="A32" s="22" t="inlineStr">
        <is>
          <t>Veillonella</t>
        </is>
      </c>
      <c r="B32" s="22" t="inlineStr">
        <is>
          <t>bacteria</t>
        </is>
      </c>
      <c r="C32" s="22" t="inlineStr">
        <is>
          <t>genus</t>
        </is>
      </c>
      <c r="D32" s="22" t="inlineStr">
        <is>
          <t>rheumatic heart disease</t>
        </is>
      </c>
      <c r="E32" s="27" t="inlineStr">
        <is>
          <t>decreased</t>
        </is>
      </c>
      <c r="F32" s="22" t="inlineStr">
        <is>
          <t>disease_vs_control</t>
        </is>
      </c>
      <c r="G32" s="22" t="inlineStr">
        <is>
          <t>oral</t>
        </is>
      </c>
      <c r="H32" s="22" t="inlineStr">
        <is>
          <t>&lt; 0.05</t>
        </is>
      </c>
      <c r="I32" s="22" t="inlineStr">
        <is>
          <t>high</t>
        </is>
      </c>
      <c r="J32" s="23" t="inlineStr">
        <is>
          <t>verified</t>
        </is>
      </c>
      <c r="K32" s="23" t="inlineStr">
        <is>
          <t>keep</t>
        </is>
      </c>
      <c r="L32" s="24" t="inlineStr">
        <is>
          <t>Among the 15 most abundant genera, relative abundance of Prevotella, Haemophilus, Veillonella, Campylobacter, and Actinomyces significantly decreased, while that of Streptococcus and Rothia significantly increased in salivary microbiota of RHD patients compared to control subjects</t>
        </is>
      </c>
      <c r="M32" s="20" t="inlineStr"/>
      <c r="N32" s="21" t="inlineStr"/>
      <c r="O32" s="21" t="inlineStr"/>
    </row>
    <row r="33" ht="20" customHeight="1">
      <c r="A33" s="16" t="inlineStr">
        <is>
          <t>Campylobacter</t>
        </is>
      </c>
      <c r="B33" s="16" t="inlineStr">
        <is>
          <t>bacteria</t>
        </is>
      </c>
      <c r="C33" s="16" t="inlineStr">
        <is>
          <t>genus</t>
        </is>
      </c>
      <c r="D33" s="16" t="inlineStr">
        <is>
          <t>rheumatic heart disease</t>
        </is>
      </c>
      <c r="E33" s="27" t="inlineStr">
        <is>
          <t>decreased</t>
        </is>
      </c>
      <c r="F33" s="16" t="inlineStr">
        <is>
          <t>disease_vs_control</t>
        </is>
      </c>
      <c r="G33" s="16" t="inlineStr">
        <is>
          <t>oral</t>
        </is>
      </c>
      <c r="H33" s="16" t="inlineStr">
        <is>
          <t>&lt; 0.05</t>
        </is>
      </c>
      <c r="I33" s="16" t="inlineStr">
        <is>
          <t>high</t>
        </is>
      </c>
      <c r="J33" s="18" t="inlineStr">
        <is>
          <t>verified</t>
        </is>
      </c>
      <c r="K33" s="18" t="inlineStr">
        <is>
          <t>keep</t>
        </is>
      </c>
      <c r="L33" s="19" t="inlineStr">
        <is>
          <t>Among the 15 most abundant genera, relative abundance of Prevotella, Haemophilus, Veillonella, Campylobacter, and Actinomyces significantly decreased, while that of Streptococcus and Rothia significantly increased in salivary microbiota of RHD patients compared to control subjects</t>
        </is>
      </c>
      <c r="M33" s="20" t="inlineStr"/>
      <c r="N33" s="21" t="inlineStr"/>
      <c r="O33" s="21" t="inlineStr"/>
    </row>
    <row r="34" ht="20" customHeight="1">
      <c r="A34" s="22" t="inlineStr">
        <is>
          <t>Actinomyces</t>
        </is>
      </c>
      <c r="B34" s="22" t="inlineStr">
        <is>
          <t>bacteria</t>
        </is>
      </c>
      <c r="C34" s="22" t="inlineStr">
        <is>
          <t>genus</t>
        </is>
      </c>
      <c r="D34" s="22" t="inlineStr">
        <is>
          <t>rheumatic heart disease</t>
        </is>
      </c>
      <c r="E34" s="27" t="inlineStr">
        <is>
          <t>decreased</t>
        </is>
      </c>
      <c r="F34" s="22" t="inlineStr">
        <is>
          <t>disease_vs_control</t>
        </is>
      </c>
      <c r="G34" s="22" t="inlineStr">
        <is>
          <t>oral</t>
        </is>
      </c>
      <c r="H34" s="22" t="inlineStr">
        <is>
          <t>&lt; 0.05</t>
        </is>
      </c>
      <c r="I34" s="22" t="inlineStr">
        <is>
          <t>high</t>
        </is>
      </c>
      <c r="J34" s="23" t="inlineStr">
        <is>
          <t>verified</t>
        </is>
      </c>
      <c r="K34" s="23" t="inlineStr">
        <is>
          <t>keep</t>
        </is>
      </c>
      <c r="L34" s="24" t="inlineStr">
        <is>
          <t>Among the 15 most abundant genera, relative abundance of Prevotella, Haemophilus, Veillonella, Campylobacter, and Actinomyces significantly decreased, while that of Streptococcus and Rothia significantly increased in salivary microbiota of RHD patients compared to control subjects</t>
        </is>
      </c>
      <c r="M34" s="20" t="inlineStr"/>
      <c r="N34" s="21" t="inlineStr"/>
      <c r="O34" s="21" t="inlineStr"/>
    </row>
    <row r="35" ht="20" customHeight="1">
      <c r="A35" s="16" t="inlineStr">
        <is>
          <t>Streptococcus</t>
        </is>
      </c>
      <c r="B35" s="16" t="inlineStr">
        <is>
          <t>bacteria</t>
        </is>
      </c>
      <c r="C35" s="16" t="inlineStr">
        <is>
          <t>genus</t>
        </is>
      </c>
      <c r="D35" s="16" t="inlineStr">
        <is>
          <t>rheumatic heart disease</t>
        </is>
      </c>
      <c r="E35" s="17" t="inlineStr">
        <is>
          <t>increased</t>
        </is>
      </c>
      <c r="F35" s="16" t="inlineStr">
        <is>
          <t>disease_vs_control</t>
        </is>
      </c>
      <c r="G35" s="16" t="inlineStr">
        <is>
          <t>oral</t>
        </is>
      </c>
      <c r="H35" s="16" t="inlineStr">
        <is>
          <t>&lt; 0.05</t>
        </is>
      </c>
      <c r="I35" s="16" t="inlineStr">
        <is>
          <t>high</t>
        </is>
      </c>
      <c r="J35" s="18" t="inlineStr">
        <is>
          <t>verified</t>
        </is>
      </c>
      <c r="K35" s="18" t="inlineStr">
        <is>
          <t>keep</t>
        </is>
      </c>
      <c r="L35" s="19" t="inlineStr">
        <is>
          <t>Among the 15 most abundant genera, relative abundance of Prevotella, Haemophilus, Veillonella, Campylobacter, and Actinomyces significantly decreased, while that of Streptococcus and Rothia significantly increased in salivary microbiota of RHD patients compared to control subjects</t>
        </is>
      </c>
      <c r="M35" s="20" t="inlineStr"/>
      <c r="N35" s="21" t="inlineStr"/>
      <c r="O35" s="21" t="inlineStr"/>
    </row>
    <row r="36" ht="20" customHeight="1">
      <c r="A36" s="22" t="inlineStr">
        <is>
          <t>Rothia</t>
        </is>
      </c>
      <c r="B36" s="22" t="inlineStr">
        <is>
          <t>bacteria</t>
        </is>
      </c>
      <c r="C36" s="22" t="inlineStr">
        <is>
          <t>genus</t>
        </is>
      </c>
      <c r="D36" s="22" t="inlineStr">
        <is>
          <t>rheumatic heart disease</t>
        </is>
      </c>
      <c r="E36" s="17" t="inlineStr">
        <is>
          <t>increased</t>
        </is>
      </c>
      <c r="F36" s="22" t="inlineStr">
        <is>
          <t>disease_vs_control</t>
        </is>
      </c>
      <c r="G36" s="22" t="inlineStr">
        <is>
          <t>oral</t>
        </is>
      </c>
      <c r="H36" s="22" t="inlineStr">
        <is>
          <t>&lt; 0.05</t>
        </is>
      </c>
      <c r="I36" s="22" t="inlineStr">
        <is>
          <t>high</t>
        </is>
      </c>
      <c r="J36" s="23" t="inlineStr">
        <is>
          <t>verified</t>
        </is>
      </c>
      <c r="K36" s="23" t="inlineStr">
        <is>
          <t>keep</t>
        </is>
      </c>
      <c r="L36" s="24" t="inlineStr">
        <is>
          <t>Among the 15 most abundant genera, relative abundance of Prevotella, Haemophilus, Veillonella, Campylobacter, and Actinomyces significantly decreased, while that of Streptococcus and Rothia significantly increased in salivary microbiota of RHD patients compared to control subjects</t>
        </is>
      </c>
      <c r="M36" s="20" t="inlineStr"/>
      <c r="N36" s="21" t="inlineStr"/>
      <c r="O36" s="21" t="inlineStr"/>
    </row>
    <row r="37" ht="20" customHeight="1">
      <c r="A37" s="16" t="inlineStr">
        <is>
          <t>Staphylococcus</t>
        </is>
      </c>
      <c r="B37" s="16" t="inlineStr">
        <is>
          <t>bacteria</t>
        </is>
      </c>
      <c r="C37" s="16" t="inlineStr">
        <is>
          <t>genus</t>
        </is>
      </c>
      <c r="D37" s="16" t="inlineStr">
        <is>
          <t>rheumatic heart disease</t>
        </is>
      </c>
      <c r="E37" s="27" t="inlineStr">
        <is>
          <t>decreased</t>
        </is>
      </c>
      <c r="F37" s="16" t="inlineStr">
        <is>
          <t>disease_vs_control</t>
        </is>
      </c>
      <c r="G37" s="16" t="inlineStr">
        <is>
          <t>oral</t>
        </is>
      </c>
      <c r="H37" s="16" t="inlineStr"/>
      <c r="I37" s="16" t="inlineStr">
        <is>
          <t>medium</t>
        </is>
      </c>
      <c r="J37" s="18" t="inlineStr">
        <is>
          <t>verified</t>
        </is>
      </c>
      <c r="K37" s="18" t="inlineStr">
        <is>
          <t>keep</t>
        </is>
      </c>
      <c r="L37" s="19"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37" s="20" t="inlineStr"/>
      <c r="N37" s="21" t="inlineStr"/>
      <c r="O37" s="21" t="inlineStr"/>
    </row>
    <row r="38" ht="20" customHeight="1">
      <c r="A38" s="22" t="inlineStr">
        <is>
          <t>Piscicoccus</t>
        </is>
      </c>
      <c r="B38" s="22" t="inlineStr">
        <is>
          <t>bacteria</t>
        </is>
      </c>
      <c r="C38" s="22" t="inlineStr">
        <is>
          <t>genus</t>
        </is>
      </c>
      <c r="D38" s="22" t="inlineStr">
        <is>
          <t>rheumatic heart disease</t>
        </is>
      </c>
      <c r="E38" s="17" t="inlineStr">
        <is>
          <t>increased</t>
        </is>
      </c>
      <c r="F38" s="22" t="inlineStr">
        <is>
          <t>disease_vs_control</t>
        </is>
      </c>
      <c r="G38" s="22" t="inlineStr">
        <is>
          <t>oral</t>
        </is>
      </c>
      <c r="H38" s="22" t="inlineStr"/>
      <c r="I38" s="22" t="inlineStr">
        <is>
          <t>medium</t>
        </is>
      </c>
      <c r="J38" s="23" t="inlineStr">
        <is>
          <t>verified</t>
        </is>
      </c>
      <c r="K38" s="23" t="inlineStr">
        <is>
          <t>keep</t>
        </is>
      </c>
      <c r="L38" s="24"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38" s="20" t="inlineStr"/>
      <c r="N38" s="21" t="inlineStr"/>
      <c r="O38" s="21" t="inlineStr"/>
    </row>
    <row r="39" ht="20" customHeight="1">
      <c r="A39" s="16" t="inlineStr">
        <is>
          <t>Abiotrophia</t>
        </is>
      </c>
      <c r="B39" s="16" t="inlineStr">
        <is>
          <t>bacteria</t>
        </is>
      </c>
      <c r="C39" s="16" t="inlineStr">
        <is>
          <t>genus</t>
        </is>
      </c>
      <c r="D39" s="16" t="inlineStr">
        <is>
          <t>rheumatic heart disease</t>
        </is>
      </c>
      <c r="E39" s="17" t="inlineStr">
        <is>
          <t>increased</t>
        </is>
      </c>
      <c r="F39" s="16" t="inlineStr">
        <is>
          <t>disease_vs_control</t>
        </is>
      </c>
      <c r="G39" s="16" t="inlineStr">
        <is>
          <t>oral</t>
        </is>
      </c>
      <c r="H39" s="16" t="inlineStr"/>
      <c r="I39" s="16" t="inlineStr">
        <is>
          <t>medium</t>
        </is>
      </c>
      <c r="J39" s="18" t="inlineStr">
        <is>
          <t>verified</t>
        </is>
      </c>
      <c r="K39" s="18" t="inlineStr">
        <is>
          <t>keep</t>
        </is>
      </c>
      <c r="L39" s="19"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39" s="20" t="inlineStr"/>
      <c r="N39" s="21" t="inlineStr"/>
      <c r="O39" s="21" t="inlineStr"/>
    </row>
    <row r="40" ht="20" customHeight="1">
      <c r="A40" s="22" t="inlineStr">
        <is>
          <t>Melissococcus</t>
        </is>
      </c>
      <c r="B40" s="22" t="inlineStr">
        <is>
          <t>bacteria</t>
        </is>
      </c>
      <c r="C40" s="22" t="inlineStr">
        <is>
          <t>genus</t>
        </is>
      </c>
      <c r="D40" s="22" t="inlineStr">
        <is>
          <t>rheumatic heart disease</t>
        </is>
      </c>
      <c r="E40" s="17" t="inlineStr">
        <is>
          <t>increased</t>
        </is>
      </c>
      <c r="F40" s="22" t="inlineStr">
        <is>
          <t>disease_vs_control</t>
        </is>
      </c>
      <c r="G40" s="22" t="inlineStr">
        <is>
          <t>oral</t>
        </is>
      </c>
      <c r="H40" s="22" t="inlineStr"/>
      <c r="I40" s="22" t="inlineStr">
        <is>
          <t>medium</t>
        </is>
      </c>
      <c r="J40" s="23" t="inlineStr">
        <is>
          <t>verified</t>
        </is>
      </c>
      <c r="K40" s="23" t="inlineStr">
        <is>
          <t>keep</t>
        </is>
      </c>
      <c r="L40" s="24"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40" s="20" t="inlineStr"/>
      <c r="N40" s="21" t="inlineStr"/>
      <c r="O40" s="21" t="inlineStr"/>
    </row>
    <row r="41" ht="20" customHeight="1">
      <c r="A41" s="16" t="inlineStr">
        <is>
          <t>Parvimonas</t>
        </is>
      </c>
      <c r="B41" s="16" t="inlineStr">
        <is>
          <t>bacteria</t>
        </is>
      </c>
      <c r="C41" s="16" t="inlineStr">
        <is>
          <t>genus</t>
        </is>
      </c>
      <c r="D41" s="16" t="inlineStr">
        <is>
          <t>rheumatic heart disease</t>
        </is>
      </c>
      <c r="E41" s="17" t="inlineStr">
        <is>
          <t>increased</t>
        </is>
      </c>
      <c r="F41" s="16" t="inlineStr">
        <is>
          <t>disease_vs_control</t>
        </is>
      </c>
      <c r="G41" s="16" t="inlineStr">
        <is>
          <t>oral</t>
        </is>
      </c>
      <c r="H41" s="16" t="inlineStr"/>
      <c r="I41" s="16" t="inlineStr">
        <is>
          <t>medium</t>
        </is>
      </c>
      <c r="J41" s="18" t="inlineStr">
        <is>
          <t>verified</t>
        </is>
      </c>
      <c r="K41" s="18" t="inlineStr">
        <is>
          <t>keep</t>
        </is>
      </c>
      <c r="L41" s="19"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41" s="20" t="inlineStr"/>
      <c r="N41" s="21" t="inlineStr"/>
      <c r="O41" s="21" t="inlineStr"/>
    </row>
    <row r="42" ht="20" customHeight="1">
      <c r="A42" s="22" t="inlineStr">
        <is>
          <t>Clostridium</t>
        </is>
      </c>
      <c r="B42" s="22" t="inlineStr">
        <is>
          <t>bacteria</t>
        </is>
      </c>
      <c r="C42" s="22" t="inlineStr">
        <is>
          <t>genus</t>
        </is>
      </c>
      <c r="D42" s="22" t="inlineStr">
        <is>
          <t>rheumatic heart disease</t>
        </is>
      </c>
      <c r="E42" s="17" t="inlineStr">
        <is>
          <t>increased</t>
        </is>
      </c>
      <c r="F42" s="22" t="inlineStr">
        <is>
          <t>disease_vs_control</t>
        </is>
      </c>
      <c r="G42" s="22" t="inlineStr">
        <is>
          <t>oral</t>
        </is>
      </c>
      <c r="H42" s="22" t="inlineStr"/>
      <c r="I42" s="22" t="inlineStr">
        <is>
          <t>medium</t>
        </is>
      </c>
      <c r="J42" s="23" t="inlineStr">
        <is>
          <t>verified</t>
        </is>
      </c>
      <c r="K42" s="23" t="inlineStr">
        <is>
          <t>keep</t>
        </is>
      </c>
      <c r="L42" s="24"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42" s="20" t="inlineStr"/>
      <c r="N42" s="21" t="inlineStr"/>
      <c r="O42" s="21" t="inlineStr"/>
    </row>
    <row r="43" ht="20" customHeight="1">
      <c r="A43" s="16" t="inlineStr">
        <is>
          <t>Lachnoanaerobaculum</t>
        </is>
      </c>
      <c r="B43" s="16" t="inlineStr">
        <is>
          <t>bacteria</t>
        </is>
      </c>
      <c r="C43" s="16" t="inlineStr">
        <is>
          <t>genus</t>
        </is>
      </c>
      <c r="D43" s="16" t="inlineStr">
        <is>
          <t>rheumatic heart disease</t>
        </is>
      </c>
      <c r="E43" s="17" t="inlineStr">
        <is>
          <t>increased</t>
        </is>
      </c>
      <c r="F43" s="16" t="inlineStr">
        <is>
          <t>disease_vs_control</t>
        </is>
      </c>
      <c r="G43" s="16" t="inlineStr">
        <is>
          <t>oral</t>
        </is>
      </c>
      <c r="H43" s="16" t="inlineStr"/>
      <c r="I43" s="16" t="inlineStr">
        <is>
          <t>medium</t>
        </is>
      </c>
      <c r="J43" s="18" t="inlineStr">
        <is>
          <t>verified</t>
        </is>
      </c>
      <c r="K43" s="18" t="inlineStr">
        <is>
          <t>keep</t>
        </is>
      </c>
      <c r="L43" s="19"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43" s="20" t="inlineStr"/>
      <c r="N43" s="21" t="inlineStr"/>
      <c r="O43" s="21" t="inlineStr"/>
    </row>
    <row r="44" ht="20" customHeight="1">
      <c r="A44" s="22" t="inlineStr">
        <is>
          <t>Rhodococcus</t>
        </is>
      </c>
      <c r="B44" s="22" t="inlineStr">
        <is>
          <t>bacteria</t>
        </is>
      </c>
      <c r="C44" s="22" t="inlineStr">
        <is>
          <t>genus</t>
        </is>
      </c>
      <c r="D44" s="22" t="inlineStr">
        <is>
          <t>rheumatic heart disease</t>
        </is>
      </c>
      <c r="E44" s="27" t="inlineStr">
        <is>
          <t>decreased</t>
        </is>
      </c>
      <c r="F44" s="22" t="inlineStr">
        <is>
          <t>disease_vs_control</t>
        </is>
      </c>
      <c r="G44" s="22" t="inlineStr">
        <is>
          <t>oral</t>
        </is>
      </c>
      <c r="H44" s="22" t="inlineStr"/>
      <c r="I44" s="22" t="inlineStr">
        <is>
          <t>medium</t>
        </is>
      </c>
      <c r="J44" s="23" t="inlineStr">
        <is>
          <t>verified</t>
        </is>
      </c>
      <c r="K44" s="23" t="inlineStr">
        <is>
          <t>keep</t>
        </is>
      </c>
      <c r="L44" s="24"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44" s="20" t="inlineStr"/>
      <c r="N44" s="21" t="inlineStr"/>
      <c r="O44" s="21" t="inlineStr"/>
    </row>
    <row r="45" ht="20" customHeight="1">
      <c r="A45" s="16" t="inlineStr">
        <is>
          <t>Afipia</t>
        </is>
      </c>
      <c r="B45" s="16" t="inlineStr">
        <is>
          <t>bacteria</t>
        </is>
      </c>
      <c r="C45" s="16" t="inlineStr">
        <is>
          <t>genus</t>
        </is>
      </c>
      <c r="D45" s="16" t="inlineStr">
        <is>
          <t>rheumatic heart disease</t>
        </is>
      </c>
      <c r="E45" s="27" t="inlineStr">
        <is>
          <t>decreased</t>
        </is>
      </c>
      <c r="F45" s="16" t="inlineStr">
        <is>
          <t>disease_vs_control</t>
        </is>
      </c>
      <c r="G45" s="16" t="inlineStr">
        <is>
          <t>oral</t>
        </is>
      </c>
      <c r="H45" s="16" t="inlineStr"/>
      <c r="I45" s="16" t="inlineStr">
        <is>
          <t>medium</t>
        </is>
      </c>
      <c r="J45" s="18" t="inlineStr">
        <is>
          <t>verified</t>
        </is>
      </c>
      <c r="K45" s="18" t="inlineStr">
        <is>
          <t>keep</t>
        </is>
      </c>
      <c r="L45" s="19"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45" s="20" t="inlineStr"/>
      <c r="N45" s="21" t="inlineStr"/>
      <c r="O45" s="21" t="inlineStr"/>
    </row>
    <row r="46" ht="20" customHeight="1">
      <c r="A46" s="22" t="inlineStr">
        <is>
          <t>Sphingomonas</t>
        </is>
      </c>
      <c r="B46" s="22" t="inlineStr">
        <is>
          <t>bacteria</t>
        </is>
      </c>
      <c r="C46" s="22" t="inlineStr">
        <is>
          <t>genus</t>
        </is>
      </c>
      <c r="D46" s="22" t="inlineStr">
        <is>
          <t>rheumatic heart disease</t>
        </is>
      </c>
      <c r="E46" s="27" t="inlineStr">
        <is>
          <t>decreased</t>
        </is>
      </c>
      <c r="F46" s="22" t="inlineStr">
        <is>
          <t>disease_vs_control</t>
        </is>
      </c>
      <c r="G46" s="22" t="inlineStr">
        <is>
          <t>oral</t>
        </is>
      </c>
      <c r="H46" s="22" t="inlineStr"/>
      <c r="I46" s="22" t="inlineStr">
        <is>
          <t>medium</t>
        </is>
      </c>
      <c r="J46" s="23" t="inlineStr">
        <is>
          <t>verified</t>
        </is>
      </c>
      <c r="K46" s="23" t="inlineStr">
        <is>
          <t>keep</t>
        </is>
      </c>
      <c r="L46" s="24" t="inlineStr">
        <is>
          <t>LEfSe identified higher levels of taxa including Piscicoccus, Rothia, Abiotrophia, Melissococcus, Streptococcus, Parvimonas, Clostridium, Lachnoanaerobaculum, etc., as well as lower levels of taxa such as Actinomyces, Rhodococcus, Prevotella, Staphylococcus, Veillonella, Afipia, Sphingomonas, etc.</t>
        </is>
      </c>
      <c r="M46" s="20" t="inlineStr"/>
      <c r="N46" s="21" t="inlineStr"/>
      <c r="O46" s="21" t="inlineStr"/>
    </row>
    <row r="47" ht="20" customHeight="1">
      <c r="A47" s="16" t="inlineStr">
        <is>
          <t>Proteobacteria</t>
        </is>
      </c>
      <c r="B47" s="16" t="inlineStr">
        <is>
          <t>bacteria</t>
        </is>
      </c>
      <c r="C47" s="16" t="inlineStr">
        <is>
          <t>phylum</t>
        </is>
      </c>
      <c r="D47" s="16" t="inlineStr">
        <is>
          <t>rheumatic heart disease</t>
        </is>
      </c>
      <c r="E47" s="17" t="inlineStr">
        <is>
          <t>increased</t>
        </is>
      </c>
      <c r="F47" s="16" t="inlineStr">
        <is>
          <t>disease_vs_control</t>
        </is>
      </c>
      <c r="G47" s="16" t="inlineStr">
        <is>
          <t>other</t>
        </is>
      </c>
      <c r="H47" s="16" t="inlineStr"/>
      <c r="I47" s="16" t="inlineStr">
        <is>
          <t>low</t>
        </is>
      </c>
      <c r="J47" s="18" t="inlineStr">
        <is>
          <t>verified</t>
        </is>
      </c>
      <c r="K47" s="18" t="inlineStr">
        <is>
          <t>keep_flagged</t>
        </is>
      </c>
      <c r="L47" s="19" t="inlineStr">
        <is>
          <t>Taxonomic composition plots at phylum level showed that mitral valves contained significantly more Proteobacteria and less Firmicutes compared to gut, subgingival plaques, and saliva</t>
        </is>
      </c>
      <c r="M47" s="20" t="inlineStr"/>
      <c r="N47" s="21" t="inlineStr"/>
      <c r="O47" s="21" t="inlineStr"/>
    </row>
    <row r="48" ht="20" customHeight="1">
      <c r="A48" s="22" t="inlineStr">
        <is>
          <t>Firmicutes</t>
        </is>
      </c>
      <c r="B48" s="22" t="inlineStr">
        <is>
          <t>bacteria</t>
        </is>
      </c>
      <c r="C48" s="22" t="inlineStr">
        <is>
          <t>phylum</t>
        </is>
      </c>
      <c r="D48" s="22" t="inlineStr">
        <is>
          <t>rheumatic heart disease</t>
        </is>
      </c>
      <c r="E48" s="27" t="inlineStr">
        <is>
          <t>decreased</t>
        </is>
      </c>
      <c r="F48" s="22" t="inlineStr">
        <is>
          <t>disease_vs_control</t>
        </is>
      </c>
      <c r="G48" s="22" t="inlineStr">
        <is>
          <t>other</t>
        </is>
      </c>
      <c r="H48" s="22" t="inlineStr"/>
      <c r="I48" s="22" t="inlineStr">
        <is>
          <t>low</t>
        </is>
      </c>
      <c r="J48" s="23" t="inlineStr">
        <is>
          <t>verified</t>
        </is>
      </c>
      <c r="K48" s="23" t="inlineStr">
        <is>
          <t>keep_flagged</t>
        </is>
      </c>
      <c r="L48" s="24" t="inlineStr">
        <is>
          <t>Taxonomic composition plots at phylum level showed that mitral valves contained significantly more Proteobacteria and less Firmicutes compared to gut, subgingival plaques, and saliva</t>
        </is>
      </c>
      <c r="M48" s="20" t="inlineStr"/>
      <c r="N48" s="21" t="inlineStr"/>
      <c r="O48"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48" showDropDown="0" showInputMessage="0" showErrorMessage="0" allowBlank="1" type="list">
      <formula1>"approved,rejected,modified"</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10"/>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16" customWidth="1" min="3" max="3"/>
    <col width="24" customWidth="1" min="4" max="4"/>
    <col width="12" customWidth="1" min="5" max="5"/>
    <col width="20" customWidth="1" min="6" max="6"/>
    <col width="13" customWidth="1" min="7" max="7"/>
    <col width="10" customWidth="1" min="8" max="8"/>
    <col width="12" customWidth="1" min="9" max="9"/>
    <col width="16" customWidth="1" min="10" max="10"/>
    <col width="16" customWidth="1" min="11" max="11"/>
    <col width="48" customWidth="1" min="12" max="12"/>
    <col width="14" customWidth="1" min="13" max="13"/>
    <col width="25" customWidth="1" min="14" max="14"/>
    <col width="35" customWidth="1" min="15" max="15"/>
  </cols>
  <sheetData>
    <row r="1" ht="28" customHeight="1">
      <c r="A1" s="12" t="inlineStr">
        <is>
          <t>Paper 988 — THE ROLE OF GUT MICROBIOTA IN FETAL METHYLMERCURY EXPOSURE: INSIGHTS FROM A PILOT STUDY</t>
        </is>
      </c>
    </row>
    <row r="2" ht="28" customHeight="1">
      <c r="A2" s="13" t="inlineStr">
        <is>
          <t>TAXON NAME</t>
        </is>
      </c>
      <c r="B2" s="13" t="inlineStr">
        <is>
          <t>DOMAIN</t>
        </is>
      </c>
      <c r="C2" s="13" t="inlineStr">
        <is>
          <t>TAXONOMIC LEVEL</t>
        </is>
      </c>
      <c r="D2" s="13" t="inlineStr">
        <is>
          <t>PRIMARY DISEASE</t>
        </is>
      </c>
      <c r="E2" s="13" t="inlineStr">
        <is>
          <t>DIRECTION</t>
        </is>
      </c>
      <c r="F2" s="13" t="inlineStr">
        <is>
          <t>CHANGE CONTEXT</t>
        </is>
      </c>
      <c r="G2" s="13" t="inlineStr">
        <is>
          <t>SAMPLE SITE</t>
        </is>
      </c>
      <c r="H2" s="13" t="inlineStr">
        <is>
          <t>P VALUE</t>
        </is>
      </c>
      <c r="I2" s="13" t="inlineStr">
        <is>
          <t>CONFIDENCE</t>
        </is>
      </c>
      <c r="J2" s="14" t="inlineStr">
        <is>
          <t>AGREEMENT</t>
        </is>
      </c>
      <c r="K2" s="14" t="inlineStr">
        <is>
          <t>QUEEN DECISION</t>
        </is>
      </c>
      <c r="L2" s="14" t="inlineStr">
        <is>
          <t>VERBATIM EVIDENCE</t>
        </is>
      </c>
      <c r="M2" s="15" t="inlineStr">
        <is>
          <t>STATUS</t>
        </is>
      </c>
      <c r="N2" s="15" t="inlineStr">
        <is>
          <t>CORRECTION</t>
        </is>
      </c>
      <c r="O2" s="15" t="inlineStr">
        <is>
          <t>SAM NOTES</t>
        </is>
      </c>
    </row>
    <row r="3" ht="20" customHeight="1">
      <c r="A3" s="16" t="inlineStr">
        <is>
          <t>Ruminococcaceae</t>
        </is>
      </c>
      <c r="B3" s="16" t="inlineStr">
        <is>
          <t>bacteria</t>
        </is>
      </c>
      <c r="C3" s="16" t="inlineStr">
        <is>
          <t>family</t>
        </is>
      </c>
      <c r="D3" s="16" t="inlineStr">
        <is>
          <t>methylmercury exposure in pregnancy</t>
        </is>
      </c>
      <c r="E3" s="17" t="inlineStr">
        <is>
          <t>increased</t>
        </is>
      </c>
      <c r="F3" s="16" t="inlineStr">
        <is>
          <t>disease_vs_control</t>
        </is>
      </c>
      <c r="G3" s="16" t="inlineStr">
        <is>
          <t>fecal</t>
        </is>
      </c>
      <c r="H3" s="16" t="inlineStr">
        <is>
          <t>&lt;0.05</t>
        </is>
      </c>
      <c r="I3" s="16" t="inlineStr">
        <is>
          <t>high</t>
        </is>
      </c>
      <c r="J3" s="18" t="inlineStr">
        <is>
          <t>verified</t>
        </is>
      </c>
      <c r="K3" s="18" t="inlineStr">
        <is>
          <t>keep</t>
        </is>
      </c>
      <c r="L3" s="19" t="inlineStr">
        <is>
          <t>Two genera were positively associated with stool MeHg (both were unclassified members of the Ruminococcaceae genus)</t>
        </is>
      </c>
      <c r="M3" s="20" t="inlineStr"/>
      <c r="N3" s="21" t="inlineStr"/>
      <c r="O3" s="21" t="inlineStr"/>
    </row>
    <row r="4" ht="20" customHeight="1">
      <c r="A4" s="22" t="inlineStr">
        <is>
          <t>Moryella</t>
        </is>
      </c>
      <c r="B4" s="22" t="inlineStr">
        <is>
          <t>bacteria</t>
        </is>
      </c>
      <c r="C4" s="22" t="inlineStr">
        <is>
          <t>genus</t>
        </is>
      </c>
      <c r="D4" s="22" t="inlineStr">
        <is>
          <t>methylmercury exposure in pregnancy</t>
        </is>
      </c>
      <c r="E4" s="27" t="inlineStr">
        <is>
          <t>decreased</t>
        </is>
      </c>
      <c r="F4" s="22" t="inlineStr">
        <is>
          <t>disease_vs_control</t>
        </is>
      </c>
      <c r="G4" s="22" t="inlineStr">
        <is>
          <t>fecal</t>
        </is>
      </c>
      <c r="H4" s="22" t="inlineStr">
        <is>
          <t>&lt;0.05</t>
        </is>
      </c>
      <c r="I4" s="22" t="inlineStr">
        <is>
          <t>high</t>
        </is>
      </c>
      <c r="J4" s="23" t="inlineStr">
        <is>
          <t>verified</t>
        </is>
      </c>
      <c r="K4" s="23" t="inlineStr">
        <is>
          <t>keep</t>
        </is>
      </c>
      <c r="L4" s="24" t="inlineStr">
        <is>
          <t>one genus was inversely associated with stool IHg (Moryella)</t>
        </is>
      </c>
      <c r="M4" s="20" t="inlineStr"/>
      <c r="N4" s="21" t="inlineStr"/>
      <c r="O4" s="21" t="inlineStr"/>
    </row>
    <row r="5" ht="20" customHeight="1">
      <c r="A5" s="16" t="inlineStr">
        <is>
          <t>Subdoligranulum</t>
        </is>
      </c>
      <c r="B5" s="16" t="inlineStr">
        <is>
          <t>bacteria</t>
        </is>
      </c>
      <c r="C5" s="16" t="inlineStr">
        <is>
          <t>genus</t>
        </is>
      </c>
      <c r="D5" s="16" t="inlineStr">
        <is>
          <t>methylmercury exposure in pregnancy</t>
        </is>
      </c>
      <c r="E5" s="17" t="inlineStr">
        <is>
          <t>increased</t>
        </is>
      </c>
      <c r="F5" s="16" t="inlineStr">
        <is>
          <t>disease_vs_control</t>
        </is>
      </c>
      <c r="G5" s="16" t="inlineStr">
        <is>
          <t>fecal</t>
        </is>
      </c>
      <c r="H5" s="16" t="inlineStr">
        <is>
          <t>&lt;0.05</t>
        </is>
      </c>
      <c r="I5" s="16" t="inlineStr">
        <is>
          <t>high</t>
        </is>
      </c>
      <c r="J5" s="18" t="inlineStr">
        <is>
          <t>verified</t>
        </is>
      </c>
      <c r="K5" s="18" t="inlineStr">
        <is>
          <t>keep</t>
        </is>
      </c>
      <c r="L5" s="19" t="inlineStr">
        <is>
          <t>Other genera were significantly associated with stool MeHg (positive: Subdoligranulum, negative: Streptococcus spp.)</t>
        </is>
      </c>
      <c r="M5" s="20" t="inlineStr"/>
      <c r="N5" s="21" t="inlineStr"/>
      <c r="O5" s="21" t="inlineStr"/>
    </row>
    <row r="6" ht="20" customHeight="1">
      <c r="A6" s="22" t="inlineStr">
        <is>
          <t>Streptococcus</t>
        </is>
      </c>
      <c r="B6" s="22" t="inlineStr">
        <is>
          <t>bacteria</t>
        </is>
      </c>
      <c r="C6" s="22" t="inlineStr">
        <is>
          <t>genus</t>
        </is>
      </c>
      <c r="D6" s="22" t="inlineStr">
        <is>
          <t>methylmercury exposure in pregnancy</t>
        </is>
      </c>
      <c r="E6" s="27" t="inlineStr">
        <is>
          <t>decreased</t>
        </is>
      </c>
      <c r="F6" s="22" t="inlineStr">
        <is>
          <t>disease_vs_control</t>
        </is>
      </c>
      <c r="G6" s="22" t="inlineStr">
        <is>
          <t>fecal</t>
        </is>
      </c>
      <c r="H6" s="22" t="inlineStr">
        <is>
          <t>&lt;0.05</t>
        </is>
      </c>
      <c r="I6" s="22" t="inlineStr">
        <is>
          <t>medium</t>
        </is>
      </c>
      <c r="J6" s="23" t="inlineStr">
        <is>
          <t>verified</t>
        </is>
      </c>
      <c r="K6" s="23" t="inlineStr">
        <is>
          <t>keep</t>
        </is>
      </c>
      <c r="L6" s="24" t="inlineStr">
        <is>
          <t>Other genera were significantly associated with stool MeHg (positive: Subdoligranulum, negative: Streptococcus spp.)</t>
        </is>
      </c>
      <c r="M6" s="20" t="inlineStr"/>
      <c r="N6" s="21" t="inlineStr"/>
      <c r="O6" s="21" t="inlineStr"/>
    </row>
    <row r="7" ht="20" customHeight="1">
      <c r="A7" s="16" t="inlineStr">
        <is>
          <t>Akkermansia</t>
        </is>
      </c>
      <c r="B7" s="16" t="inlineStr">
        <is>
          <t>bacteria</t>
        </is>
      </c>
      <c r="C7" s="16" t="inlineStr">
        <is>
          <t>genus</t>
        </is>
      </c>
      <c r="D7" s="16" t="inlineStr">
        <is>
          <t>methylmercury exposure in pregnancy</t>
        </is>
      </c>
      <c r="E7" s="17" t="inlineStr">
        <is>
          <t>increased</t>
        </is>
      </c>
      <c r="F7" s="16" t="inlineStr">
        <is>
          <t>disease_vs_control</t>
        </is>
      </c>
      <c r="G7" s="16" t="inlineStr">
        <is>
          <t>fecal</t>
        </is>
      </c>
      <c r="H7" s="16" t="inlineStr">
        <is>
          <t>&lt;0.05</t>
        </is>
      </c>
      <c r="I7" s="16" t="inlineStr">
        <is>
          <t>medium</t>
        </is>
      </c>
      <c r="J7" s="18" t="inlineStr">
        <is>
          <t>verified</t>
        </is>
      </c>
      <c r="K7" s="18" t="inlineStr">
        <is>
          <t>keep</t>
        </is>
      </c>
      <c r="L7" s="19" t="inlineStr">
        <is>
          <t>Akkermansia spp. were positively correlated with stool MeHg (when log10-transformed) (Pearson's rho=0.50, p&lt;0.05)</t>
        </is>
      </c>
      <c r="M7" s="20" t="inlineStr"/>
      <c r="N7" s="21" t="inlineStr"/>
      <c r="O7" s="21" t="inlineStr"/>
    </row>
    <row r="8" ht="20" customHeight="1">
      <c r="A8" s="22" t="inlineStr">
        <is>
          <t>Proteobacteria</t>
        </is>
      </c>
      <c r="B8" s="22" t="inlineStr">
        <is>
          <t>bacteria</t>
        </is>
      </c>
      <c r="C8" s="22" t="inlineStr">
        <is>
          <t>phylum</t>
        </is>
      </c>
      <c r="D8" s="22" t="inlineStr">
        <is>
          <t>methylmercury exposure in pregnancy</t>
        </is>
      </c>
      <c r="E8" s="27" t="inlineStr">
        <is>
          <t>decreased</t>
        </is>
      </c>
      <c r="F8" s="22" t="inlineStr">
        <is>
          <t>disease_vs_control</t>
        </is>
      </c>
      <c r="G8" s="22" t="inlineStr">
        <is>
          <t>fecal</t>
        </is>
      </c>
      <c r="H8" s="22" t="inlineStr">
        <is>
          <t>&lt;0.01</t>
        </is>
      </c>
      <c r="I8" s="22" t="inlineStr">
        <is>
          <t>low</t>
        </is>
      </c>
      <c r="J8" s="23" t="inlineStr">
        <is>
          <t>verified</t>
        </is>
      </c>
      <c r="K8" s="23" t="inlineStr">
        <is>
          <t>keep_flagged</t>
        </is>
      </c>
      <c r="L8" s="24" t="inlineStr">
        <is>
          <t>significant associations were observed between stool MeHg and Proteobacteria using Pearson's correlation (rho = −0.61, p&lt;0.01), but not Spearman's correlation (rho = −0.45, respectively, p=0.07). However, this inverse association was driven by a single observation; when this observation was removed Pearson's correlation was no longer significant (p=0.13)</t>
        </is>
      </c>
      <c r="M8" s="20" t="inlineStr"/>
      <c r="N8" s="21" t="inlineStr"/>
      <c r="O8" s="21" t="inlineStr"/>
    </row>
    <row r="9" ht="20" customHeight="1">
      <c r="A9" s="16" t="inlineStr">
        <is>
          <t>Blautia</t>
        </is>
      </c>
      <c r="B9" s="16" t="inlineStr">
        <is>
          <t>bacteria</t>
        </is>
      </c>
      <c r="C9" s="16" t="inlineStr">
        <is>
          <t>genus</t>
        </is>
      </c>
      <c r="D9" s="16" t="inlineStr">
        <is>
          <t>excessive gestational weight gain</t>
        </is>
      </c>
      <c r="E9" s="17" t="inlineStr">
        <is>
          <t>increased</t>
        </is>
      </c>
      <c r="F9" s="16" t="inlineStr">
        <is>
          <t>disease_vs_control</t>
        </is>
      </c>
      <c r="G9" s="16" t="inlineStr">
        <is>
          <t>fecal</t>
        </is>
      </c>
      <c r="H9" s="16" t="inlineStr">
        <is>
          <t>&lt;0.05</t>
        </is>
      </c>
      <c r="I9" s="16" t="inlineStr">
        <is>
          <t>medium</t>
        </is>
      </c>
      <c r="J9" s="18" t="inlineStr">
        <is>
          <t>verified</t>
        </is>
      </c>
      <c r="K9" s="18" t="inlineStr">
        <is>
          <t>keep</t>
        </is>
      </c>
      <c r="L9" s="19" t="inlineStr">
        <is>
          <t>abundance of Blautia (phylum: Firmicutes) was significantly higher for mothers who gained excessed weight (Wilcoxon rank-sum, p&lt;0.05)</t>
        </is>
      </c>
      <c r="M9" s="20" t="inlineStr"/>
      <c r="N9" s="21" t="inlineStr"/>
      <c r="O9" s="21" t="inlineStr"/>
    </row>
    <row r="10" ht="20" customHeight="1">
      <c r="A10" s="22" t="inlineStr">
        <is>
          <t>Ruminococcaceae</t>
        </is>
      </c>
      <c r="B10" s="22" t="inlineStr">
        <is>
          <t>bacteria</t>
        </is>
      </c>
      <c r="C10" s="22" t="inlineStr">
        <is>
          <t>family</t>
        </is>
      </c>
      <c r="D10" s="22" t="inlineStr">
        <is>
          <t>antibiotic treatment in pregnancy</t>
        </is>
      </c>
      <c r="E10" s="17" t="inlineStr">
        <is>
          <t>increased</t>
        </is>
      </c>
      <c r="F10" s="22" t="inlineStr">
        <is>
          <t>treatment_effect</t>
        </is>
      </c>
      <c r="G10" s="22" t="inlineStr">
        <is>
          <t>fecal</t>
        </is>
      </c>
      <c r="H10" s="22" t="inlineStr">
        <is>
          <t>&lt;0.05</t>
        </is>
      </c>
      <c r="I10" s="22" t="inlineStr">
        <is>
          <t>medium</t>
        </is>
      </c>
      <c r="J10" s="23" t="inlineStr">
        <is>
          <t>verified</t>
        </is>
      </c>
      <c r="K10" s="23" t="inlineStr">
        <is>
          <t>keep</t>
        </is>
      </c>
      <c r="L10" s="24" t="inlineStr">
        <is>
          <t>unclassified members of the genus Ruminococcaceae (phylum: Firmicutes) were significantly higher for mothers prescribed antibiotics (Wilcoxon rank-sum, p&lt;0.05)</t>
        </is>
      </c>
      <c r="M10" s="20" t="inlineStr"/>
      <c r="N10" s="21" t="inlineStr"/>
      <c r="O10" s="21" t="inlineStr"/>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O1"/>
  </mergeCells>
  <dataValidations count="1">
    <dataValidation sqref="M3:M10" showDropDown="0" showInputMessage="0" showErrorMessage="0" allowBlank="1" type="list">
      <formula1>"approved,rejected,modified"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2026-02-25T00:29:11Z</dcterms:created>
  <dcterms:modified xmlns:dcterms="http://purl.org/dc/terms/" xmlns:xsi="http://www.w3.org/2001/XMLSchema-instance" xsi:type="dcterms:W3CDTF">2026-02-25T00:29:11Z</dcterms:modified>
</cp:coreProperties>
</file>